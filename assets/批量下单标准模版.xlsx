
<file path=[Content_Types].xml><?xml version="1.0" encoding="utf-8"?>
<Types xmlns="http://schemas.openxmlformats.org/package/2006/content-types">
  <Default Extension="xml" ContentType="application/xml"/>
  <Default Extension="vml" ContentType="application/vnd.openxmlformats-officedocument.vmlDrawing"/>
  <Default Extension="rels" ContentType="application/vnd.openxmlformats-package.relationships+xml"/>
  <Override PartName="/customXml/itemProps1.xml" ContentType="application/vnd.openxmlformats-officedocument.customXmlProperties+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omments1.xml" ContentType="application/vnd.openxmlformats-officedocument.spreadsheetml.comment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codeName="ThisWorkbook"/>
  <bookViews>
    <workbookView windowWidth="28800" windowHeight="12255"/>
  </bookViews>
  <sheets>
    <sheet name="新版客户货物运输委托书" sheetId="1" r:id="rId1"/>
    <sheet name="栏位填写说明" sheetId="2" r:id="rId2"/>
    <sheet name="新版仓库编码" sheetId="3" r:id="rId3"/>
    <sheet name="指定路线" sheetId="4" r:id="rId4"/>
  </sheets>
  <definedNames>
    <definedName name="_xlnm._FilterDatabase" localSheetId="2" hidden="1">新版仓库编码!$A$1:$L$1</definedName>
    <definedName name="_xlnm._FilterDatabase" localSheetId="3" hidden="1">指定路线!$A$1:$C$206</definedName>
    <definedName name="FBA仓">新版仓库编码!$C$2:$C$498</definedName>
    <definedName name="FBA卫星仓">新版仓库编码!$C$499:$C$508</definedName>
    <definedName name="海外仓">新版仓库编码!$C$571:$C$627</definedName>
    <definedName name="空">新版仓库编码!$D$630</definedName>
    <definedName name="嘀仓海外仓">新版仓库编码!$C$545:$C$570</definedName>
    <definedName name="私人地址">新版仓库编码!$C$628:$C$629</definedName>
    <definedName name="WAL仓">新版仓库编码!$C$509:$C$544</definedName>
    <definedName name="空列表">新版仓库编码!$D$630</definedName>
  </definedNames>
  <calcPr calcId="191029" concurrentCalc="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authors>
    <author/>
  </authors>
  <commentList>
    <comment ref="AU1" authorId="0">
      <text/>
    </comment>
  </commentList>
</comments>
</file>

<file path=xl/sharedStrings.xml><?xml version="1.0" encoding="utf-8"?>
<sst xmlns="http://schemas.openxmlformats.org/spreadsheetml/2006/main" count="8209" uniqueCount="3889">
  <si>
    <t>*序号</t>
  </si>
  <si>
    <r>
      <rPr>
        <b/>
        <sz val="14"/>
        <color rgb="FFFF0000"/>
        <rFont val="微软雅黑"/>
        <charset val="134"/>
      </rPr>
      <t>*</t>
    </r>
    <r>
      <rPr>
        <b/>
        <sz val="14"/>
        <rFont val="微软雅黑"/>
        <charset val="134"/>
      </rPr>
      <t xml:space="preserve">FBA箱号
</t>
    </r>
    <r>
      <rPr>
        <b/>
        <sz val="14"/>
        <color rgb="FFFF0000"/>
        <rFont val="微软雅黑"/>
        <charset val="134"/>
      </rPr>
      <t>（连号用“-”表示）</t>
    </r>
  </si>
  <si>
    <r>
      <rPr>
        <b/>
        <sz val="14"/>
        <color rgb="FFFF0000"/>
        <rFont val="微软雅黑"/>
        <charset val="134"/>
      </rPr>
      <t>*</t>
    </r>
    <r>
      <rPr>
        <b/>
        <sz val="14"/>
        <rFont val="微软雅黑"/>
        <charset val="134"/>
      </rPr>
      <t>中文品名</t>
    </r>
  </si>
  <si>
    <r>
      <rPr>
        <b/>
        <sz val="14"/>
        <color rgb="FFFF0000"/>
        <rFont val="微软雅黑"/>
        <charset val="134"/>
      </rPr>
      <t>*</t>
    </r>
    <r>
      <rPr>
        <b/>
        <sz val="14"/>
        <rFont val="微软雅黑"/>
        <charset val="134"/>
      </rPr>
      <t>英文品名</t>
    </r>
  </si>
  <si>
    <t>SKU码</t>
  </si>
  <si>
    <r>
      <rPr>
        <b/>
        <sz val="14"/>
        <color rgb="FFFF0000"/>
        <rFont val="微软雅黑"/>
        <charset val="134"/>
      </rPr>
      <t>*</t>
    </r>
    <r>
      <rPr>
        <b/>
        <sz val="14"/>
        <rFont val="微软雅黑"/>
        <charset val="134"/>
      </rPr>
      <t>海关编码</t>
    </r>
  </si>
  <si>
    <r>
      <rPr>
        <b/>
        <sz val="14"/>
        <color rgb="FFFF0000"/>
        <rFont val="微软雅黑"/>
        <charset val="134"/>
      </rPr>
      <t>*</t>
    </r>
    <r>
      <rPr>
        <b/>
        <sz val="14"/>
        <rFont val="微软雅黑"/>
        <charset val="134"/>
      </rPr>
      <t>中文材质</t>
    </r>
  </si>
  <si>
    <r>
      <rPr>
        <b/>
        <sz val="14"/>
        <color rgb="FFFF0000"/>
        <rFont val="微软雅黑"/>
        <charset val="134"/>
      </rPr>
      <t>*</t>
    </r>
    <r>
      <rPr>
        <b/>
        <sz val="14"/>
        <rFont val="微软雅黑"/>
        <charset val="134"/>
      </rPr>
      <t>英文材质</t>
    </r>
  </si>
  <si>
    <t>*品牌</t>
  </si>
  <si>
    <t>*品牌类型</t>
  </si>
  <si>
    <t>型号</t>
  </si>
  <si>
    <r>
      <rPr>
        <b/>
        <sz val="14"/>
        <color rgb="FFFF0000"/>
        <rFont val="微软雅黑"/>
        <charset val="134"/>
      </rPr>
      <t>*</t>
    </r>
    <r>
      <rPr>
        <b/>
        <sz val="14"/>
        <rFont val="微软雅黑"/>
        <charset val="134"/>
      </rPr>
      <t>用途</t>
    </r>
  </si>
  <si>
    <t>*带电、磁</t>
  </si>
  <si>
    <r>
      <rPr>
        <b/>
        <sz val="14"/>
        <color rgb="FFFF0000"/>
        <rFont val="微软雅黑"/>
        <charset val="134"/>
      </rPr>
      <t>*</t>
    </r>
    <r>
      <rPr>
        <b/>
        <sz val="14"/>
        <rFont val="微软雅黑"/>
        <charset val="134"/>
      </rPr>
      <t>总箱数</t>
    </r>
  </si>
  <si>
    <t>单箱
净重</t>
  </si>
  <si>
    <t>单箱
毛重</t>
  </si>
  <si>
    <r>
      <rPr>
        <b/>
        <sz val="14"/>
        <color rgb="FFFF0000"/>
        <rFont val="微软雅黑"/>
        <charset val="134"/>
      </rPr>
      <t>*</t>
    </r>
    <r>
      <rPr>
        <b/>
        <sz val="14"/>
        <rFont val="微软雅黑"/>
        <charset val="134"/>
      </rPr>
      <t>单箱个数</t>
    </r>
  </si>
  <si>
    <r>
      <rPr>
        <b/>
        <sz val="14"/>
        <color rgb="FFFF0000"/>
        <rFont val="微软雅黑"/>
        <charset val="134"/>
      </rPr>
      <t>*</t>
    </r>
    <r>
      <rPr>
        <b/>
        <sz val="14"/>
        <rFont val="微软雅黑"/>
        <charset val="134"/>
      </rPr>
      <t>产品总个数</t>
    </r>
  </si>
  <si>
    <r>
      <rPr>
        <b/>
        <sz val="14"/>
        <color rgb="FFFF0000"/>
        <rFont val="微软雅黑"/>
        <charset val="134"/>
      </rPr>
      <t>*</t>
    </r>
    <r>
      <rPr>
        <b/>
        <sz val="14"/>
        <rFont val="微软雅黑"/>
        <charset val="134"/>
      </rPr>
      <t>申报单价</t>
    </r>
  </si>
  <si>
    <r>
      <rPr>
        <b/>
        <sz val="14"/>
        <color rgb="FFFF0000"/>
        <rFont val="微软雅黑"/>
        <charset val="134"/>
      </rPr>
      <t>*</t>
    </r>
    <r>
      <rPr>
        <b/>
        <sz val="14"/>
        <rFont val="微软雅黑"/>
        <charset val="134"/>
      </rPr>
      <t>申报总价</t>
    </r>
  </si>
  <si>
    <r>
      <rPr>
        <b/>
        <sz val="14"/>
        <color rgb="FFFF0000"/>
        <rFont val="微软雅黑"/>
        <charset val="134"/>
      </rPr>
      <t>*</t>
    </r>
    <r>
      <rPr>
        <b/>
        <sz val="14"/>
        <rFont val="微软雅黑"/>
        <charset val="134"/>
      </rPr>
      <t>申报币种</t>
    </r>
  </si>
  <si>
    <t>采购单价</t>
  </si>
  <si>
    <t>采购总价</t>
  </si>
  <si>
    <t>采购币种
（默认人民币）</t>
  </si>
  <si>
    <r>
      <rPr>
        <b/>
        <sz val="14"/>
        <color rgb="FFFF0000"/>
        <rFont val="微软雅黑"/>
        <charset val="134"/>
      </rPr>
      <t>*</t>
    </r>
    <r>
      <rPr>
        <b/>
        <sz val="14"/>
        <rFont val="微软雅黑"/>
        <charset val="134"/>
      </rPr>
      <t>长
cm</t>
    </r>
  </si>
  <si>
    <r>
      <rPr>
        <b/>
        <sz val="14"/>
        <color rgb="FFFF0000"/>
        <rFont val="微软雅黑"/>
        <charset val="134"/>
      </rPr>
      <t>*</t>
    </r>
    <r>
      <rPr>
        <b/>
        <sz val="14"/>
        <rFont val="微软雅黑"/>
        <charset val="134"/>
      </rPr>
      <t>宽
cm</t>
    </r>
  </si>
  <si>
    <r>
      <rPr>
        <b/>
        <sz val="14"/>
        <color rgb="FFFF0000"/>
        <rFont val="微软雅黑"/>
        <charset val="134"/>
      </rPr>
      <t>*</t>
    </r>
    <r>
      <rPr>
        <b/>
        <sz val="14"/>
        <rFont val="微软雅黑"/>
        <charset val="134"/>
      </rPr>
      <t>高
cm</t>
    </r>
  </si>
  <si>
    <t>※图片（必填，需为浮动图片）</t>
  </si>
  <si>
    <t>※产品在平台链接
（必填）</t>
  </si>
  <si>
    <t>参考编号</t>
  </si>
  <si>
    <t>PO NO</t>
  </si>
  <si>
    <r>
      <rPr>
        <b/>
        <sz val="14"/>
        <color rgb="FFFF0000"/>
        <rFont val="微软雅黑"/>
        <charset val="134"/>
      </rPr>
      <t>*</t>
    </r>
    <r>
      <rPr>
        <b/>
        <sz val="14"/>
        <rFont val="微软雅黑"/>
        <charset val="134"/>
      </rPr>
      <t>预计到仓时间</t>
    </r>
  </si>
  <si>
    <r>
      <rPr>
        <b/>
        <sz val="14"/>
        <color rgb="FFFF0000"/>
        <rFont val="微软雅黑"/>
        <charset val="134"/>
      </rPr>
      <t>*</t>
    </r>
    <r>
      <rPr>
        <b/>
        <sz val="14"/>
        <rFont val="微软雅黑"/>
        <charset val="134"/>
      </rPr>
      <t>地址类型</t>
    </r>
  </si>
  <si>
    <r>
      <rPr>
        <b/>
        <sz val="14"/>
        <color rgb="FFFF0000"/>
        <rFont val="微软雅黑"/>
        <charset val="134"/>
      </rPr>
      <t>*</t>
    </r>
    <r>
      <rPr>
        <b/>
        <sz val="14"/>
        <rFont val="微软雅黑"/>
        <charset val="134"/>
      </rPr>
      <t>仓库编码</t>
    </r>
  </si>
  <si>
    <r>
      <rPr>
        <b/>
        <sz val="14"/>
        <color rgb="FFFF0000"/>
        <rFont val="微软雅黑"/>
        <charset val="134"/>
      </rPr>
      <t>*</t>
    </r>
    <r>
      <rPr>
        <b/>
        <sz val="14"/>
        <rFont val="微软雅黑"/>
        <charset val="134"/>
      </rPr>
      <t>收件国家</t>
    </r>
  </si>
  <si>
    <r>
      <rPr>
        <b/>
        <sz val="14"/>
        <color rgb="FFFF0000"/>
        <rFont val="微软雅黑"/>
        <charset val="134"/>
      </rPr>
      <t>*</t>
    </r>
    <r>
      <rPr>
        <b/>
        <sz val="14"/>
        <rFont val="微软雅黑"/>
        <charset val="134"/>
      </rPr>
      <t>收件地址</t>
    </r>
  </si>
  <si>
    <r>
      <rPr>
        <b/>
        <sz val="14"/>
        <color rgb="FFFF0000"/>
        <rFont val="微软雅黑"/>
        <charset val="134"/>
      </rPr>
      <t>*</t>
    </r>
    <r>
      <rPr>
        <b/>
        <sz val="14"/>
        <rFont val="微软雅黑"/>
        <charset val="134"/>
      </rPr>
      <t>收件邮编</t>
    </r>
  </si>
  <si>
    <t>收件州/省</t>
  </si>
  <si>
    <t>*收件城市</t>
  </si>
  <si>
    <t>收件公司</t>
  </si>
  <si>
    <t>*收件人</t>
  </si>
  <si>
    <t>*收件电话</t>
  </si>
  <si>
    <t>收件邮箱</t>
  </si>
  <si>
    <r>
      <rPr>
        <b/>
        <sz val="14"/>
        <color rgb="FFFF0000"/>
        <rFont val="微软雅黑"/>
        <charset val="134"/>
      </rPr>
      <t>*</t>
    </r>
    <r>
      <rPr>
        <b/>
        <sz val="14"/>
        <rFont val="微软雅黑"/>
        <charset val="134"/>
      </rPr>
      <t>指定路线</t>
    </r>
  </si>
  <si>
    <r>
      <rPr>
        <b/>
        <sz val="14"/>
        <color rgb="FFFF0000"/>
        <rFont val="微软雅黑"/>
        <charset val="134"/>
      </rPr>
      <t>*</t>
    </r>
    <r>
      <rPr>
        <b/>
        <sz val="14"/>
        <rFont val="微软雅黑"/>
        <charset val="134"/>
      </rPr>
      <t>报关方式</t>
    </r>
  </si>
  <si>
    <r>
      <rPr>
        <b/>
        <sz val="14"/>
        <color rgb="FFFF0000"/>
        <rFont val="微软雅黑"/>
        <charset val="134"/>
      </rPr>
      <t>*</t>
    </r>
    <r>
      <rPr>
        <b/>
        <sz val="14"/>
        <rFont val="微软雅黑"/>
        <charset val="134"/>
      </rPr>
      <t>清关方式</t>
    </r>
  </si>
  <si>
    <t>是否递延</t>
  </si>
  <si>
    <t>收件税号</t>
  </si>
  <si>
    <t>备注</t>
  </si>
  <si>
    <t>CNY</t>
  </si>
  <si>
    <t>/</t>
  </si>
  <si>
    <t>FBA仓</t>
  </si>
  <si>
    <t>PHX3</t>
  </si>
  <si>
    <t>货物下单信息填写规范表</t>
  </si>
  <si>
    <t>表头字段</t>
  </si>
  <si>
    <t>填写规范要求</t>
  </si>
  <si>
    <t>正确示例</t>
  </si>
  <si>
    <t>错误示例</t>
  </si>
  <si>
    <t>关键备注</t>
  </si>
  <si>
    <t>是否为新增栏位</t>
  </si>
  <si>
    <r>
      <rPr>
        <b/>
        <sz val="14"/>
        <color rgb="FFFF0000"/>
        <rFont val="微软雅黑"/>
        <charset val="134"/>
      </rPr>
      <t>*</t>
    </r>
    <r>
      <rPr>
        <b/>
        <sz val="14"/>
        <rFont val="微软雅黑"/>
        <charset val="134"/>
      </rPr>
      <t>序号</t>
    </r>
  </si>
  <si>
    <t>用于区分不同票数，同一订单请务必填写相同序号</t>
  </si>
  <si>
    <t>同一订单下填了001、002两个不同序号</t>
  </si>
  <si>
    <t>同一订单序号保持一致</t>
  </si>
  <si>
    <t>是</t>
  </si>
  <si>
    <r>
      <rPr>
        <b/>
        <sz val="14"/>
        <color rgb="FFFF0000"/>
        <rFont val="微软雅黑"/>
        <charset val="134"/>
      </rPr>
      <t>*</t>
    </r>
    <r>
      <rPr>
        <b/>
        <sz val="14"/>
        <color theme="1"/>
        <rFont val="微软雅黑"/>
        <charset val="134"/>
      </rPr>
      <t>FBA 箱号
（连号用 “-” 表示）</t>
    </r>
  </si>
  <si>
    <t>1. 编码规则：12 位 FBAID + U + 补 0（个位数补 5 个 0、十位数补 4 个 0、百位数补 3 个 0） + 箱数；
2. 多子单：用 “-” 连接起止箱号，确保连号无断档，中间不可有任何其他符号或空格。
3.到FBA仓库为必填其他地址可为空</t>
  </si>
  <si>
    <t>1箱：FBA123456789U000001或1-1
1-15箱：FBA123456789U000001-FBA123456789U000015或1-15
108-112箱：FBA123456789U000108-FBA123456789U000112或108-112</t>
  </si>
  <si>
    <t>1. FBA12345678U000001（FBAID 仅 11 位）
2. FBA123456789U00015（十位数少补 1 个 0）
3. FBA123456789U000011~FBA123456789U000015
（用 “~” 连接）
4.FBA123456789U000001-U000015（缺少前缀）</t>
  </si>
  <si>
    <t>12 位 FBAID 需逐位复制，不可增减；箱数需与实际货物一致，多子单范围需连续</t>
  </si>
  <si>
    <t>否</t>
  </si>
  <si>
    <t>*中文品名</t>
  </si>
  <si>
    <t>1. 用规范中文，完整体现 “材质 + 功能 + 品类 + 关键属性”（如款式、容量）；
2. 禁用 “配件”“样品”“礼品”“杂货” 等模糊表述。</t>
  </si>
  <si>
    <t>1. 100% 纯棉女士中长款连帽卫衣          
2. ABS 塑料儿童益智拼装积木（300 颗粒）
3. 不锈钢家用多功能高压锅（5L）</t>
  </si>
  <si>
    <t>1. 服装（未明确材质、款式）
2. 玩具（未明确类型、材质）
3. 厨房配件（模糊表述）</t>
  </si>
  <si>
    <t>需与商品实物、平台链接描述一致，避免因属性不全触发海关查验</t>
  </si>
  <si>
    <r>
      <rPr>
        <b/>
        <sz val="14"/>
        <color rgb="FFFF0000"/>
        <rFont val="微软雅黑"/>
        <charset val="134"/>
      </rPr>
      <t>*</t>
    </r>
    <r>
      <rPr>
        <b/>
        <sz val="14"/>
        <color theme="1"/>
        <rFont val="微软雅黑"/>
        <charset val="134"/>
      </rPr>
      <t>英文品名</t>
    </r>
  </si>
  <si>
    <t>1. 国际通用名称，与中文品名完全对应；
2. 首字母大写（介词 / 连词除外），无拼写错误。</t>
  </si>
  <si>
    <t>1. 100% Cotton Women's Mid-Length Hoodie
2. ABS Plastic Kids' Educational Building Blocks (300pcs)
3. Stainless Steel Household Multi-Functional Pressure Cooker (5L)</t>
  </si>
  <si>
    <t>1. Women's Clothes（与中文 “卫衣” 不对应）
2. abs plastic blocks（首字母未大写）
3. Stainless Steel Cooker（漏 “5L” 关键属性）</t>
  </si>
  <si>
    <t>符合目的国语言习惯，确保中外品名一一匹配，避免简写导致歧义</t>
  </si>
  <si>
    <t>SKU 码</t>
  </si>
  <si>
    <t>填写库存系统唯一编码，建议含 “品类 + 规格 + 款号”（便于区分和追踪）。</t>
  </si>
  <si>
    <t>1. TS-W-M001（TS=T 恤，W = 女士，M001 = 中长款）
2. BLOCK-K-300（BLOCK = 积木，K = 儿童，300 = 颗粒数）
3. POT-S-5L（POT = 锅具，S = 不锈钢，5L = 容量）</t>
  </si>
  <si>
    <t>1. 001、通用码（无含义，无法区分）
2. TS-W-M001（重复用于男士 T 恤）</t>
  </si>
  <si>
    <t>确保 SKU 唯一性，便于内部库存核对和物流追踪</t>
  </si>
  <si>
    <t>*海关编码
（10 位 HS 编码）</t>
  </si>
  <si>
    <t>1. 提供完整 10 位编码，不可缺位；
2. 匹配商品材质、用途、监管条件，不确定时联系服务商确认。
3.自税的订单按照目的国清关编码来填写；包税的订单不做限制</t>
  </si>
  <si>
    <t>1. 纯棉女士卫衣：6110200090
2. 儿童拼装积木：9503006000
3. 不锈钢高压锅：7323930000</t>
  </si>
  <si>
    <t>1. 6110（仅 4 位）
2. 950300（仅 6 位）
3. 7323（仅 4 位，无法定位商品）</t>
  </si>
  <si>
    <r>
      <rPr>
        <sz val="10"/>
        <color rgb="FFC00000"/>
        <rFont val="微软雅黑"/>
        <charset val="134"/>
      </rPr>
      <t>参考海关编码查询网址https://www.likecha.com/tools/hscode.html
英国海关编码税率查询https://www.trade-tariff.service.gov.uk/find_commodity
欧洲海关编码税率查询https://ec.europa.eu/taxation_customs/dds2/taric/taric_consultation.jsp?Lang=en
美国海关编码税率查询https://hts.usitc.gov/</t>
    </r>
  </si>
  <si>
    <r>
      <rPr>
        <b/>
        <sz val="14"/>
        <color rgb="FFFF0000"/>
        <rFont val="微软雅黑"/>
        <charset val="134"/>
      </rPr>
      <t>*</t>
    </r>
    <r>
      <rPr>
        <b/>
        <sz val="14"/>
        <color theme="1"/>
        <rFont val="微软雅黑"/>
        <charset val="134"/>
      </rPr>
      <t>材质（中文）</t>
    </r>
  </si>
  <si>
    <t>1. 单一材质注 “100% XX”，混合材质按占比从高到低标注；
2. 含竹 / 木 / 草等植物成分必须注明；
3. 禁用 “木质”“布料”“混合材质” 等模糊表述。</t>
  </si>
  <si>
    <t>1. 100% 聚酯纤维
2. 70% 棉 + 30% 氨纶
3. 松木（含植物成分）4. ABS 塑料 + 钢化玻璃（各 50%）</t>
  </si>
  <si>
    <t>1. 布料（未明确材质）
2. 木质（未明确木材种类）
3. 混合材质（未拆分成分）
4. 塑料 + 玻璃（未标比例）</t>
  </si>
  <si>
    <t>植物成分涉及检疫要求，漏填可能导致查验；混合材质比例需实际检测，不可估算</t>
  </si>
  <si>
    <r>
      <rPr>
        <b/>
        <sz val="14"/>
        <color rgb="FFFF0000"/>
        <rFont val="微软雅黑"/>
        <charset val="134"/>
      </rPr>
      <t>*</t>
    </r>
    <r>
      <rPr>
        <b/>
        <sz val="14"/>
        <color theme="1"/>
        <rFont val="微软雅黑"/>
        <charset val="134"/>
      </rPr>
      <t>材质（英文）</t>
    </r>
  </si>
  <si>
    <t>1. 与中文材质完全对应，比例格式统一；
2. 用国际通用术语，无缩写（特殊约定除外）。</t>
  </si>
  <si>
    <t>1. 100% Polyester
2. 70% Cotton + 30% Spandex
3. Pine Wood (Contains Plant Components)
4. 50% ABS Plastic + 50% Tempered Glass</t>
  </si>
  <si>
    <t>1. 100% Fabric（与 “聚酯纤维” 不对应）
2. 70% Cot + 30% Spandex（缩写不规范）
3. Wood (Plant Component)（未明确木材种类）</t>
  </si>
  <si>
    <t>避免直译错误（如 “氨纶” 译 “Spandex”，不译 “Elastane”）</t>
  </si>
  <si>
    <t>1. 无品牌：明确填 “无品牌”（产品、标签、外包装上都无品牌，不可填店铺名、产品名）；
2. 有品牌：填 “英文 + 中文”（产品或标签或外包含 ®/TM/LOGO 需如实申报）；
3. 备案品牌：需提供授权截图，授权人匹配报关单境内发货人。</t>
  </si>
  <si>
    <t>1. 备案品牌：华为 HUAWEI（附授权）                                       2. 非备案品牌：耐克 NIKE
3. 无品牌：无品牌</t>
  </si>
  <si>
    <t>1. XX 运动旗舰店（店铺名误作品牌）                       
2. 无线蓝牙耳机（产品名误作品牌）
3. 空白（无品牌时未填写）</t>
  </si>
  <si>
    <t>品牌名称需与商品标签 / 包装一致，不可简写（如 “耐克” 不代 “NIKE 耐克”） ，海关备案品牌查询网址 http://202.127.48.145:8888/zscq/search/jsp/vBrandSearchIndex.jsp</t>
  </si>
  <si>
    <t>必选以下 5 类，不可自定义，需与 “品牌” 匹配：
无品牌：是指出货实物商品或包装上无任何标志或品牌名
境内自主品牌：境内企业自主开发并拥有知识产权的品牌，如华为
境内收购品牌：境内企业收购的原境外品牌如联想 IBM
境外品牌（贴牌）：境内企业代工贴牌生产中使用的境外品牌，如代工厂 ZARA
境外品牌（其他）：除贴牌生产外使用的境外品牌，如进口授权耐克</t>
  </si>
  <si>
    <t>1. 华为 HUAWEI→境内自主品牌
2. 联想 IBM→境内收购品牌
3. 代工厂 ZARA→境外品牌（贴牌）
4. 无品牌→无品牌</t>
  </si>
  <si>
    <t>1. 耐克 NIKE→境内自主品牌（归属错误）
2. 无品牌→境外品牌（其他）（逻辑错误）
3. 自定义 “进口品牌”（未选指定类别）</t>
  </si>
  <si>
    <t>错误选择会影响海关品牌属性判定，可能导致通关延误或退单</t>
  </si>
  <si>
    <t>1. 有标注（Model/Type/PN 等）：如实填完整型号（含字母、数字、符号）；
2. 无型号：明确填 “无型号”，不可填 “通用”“常规”。</t>
  </si>
  <si>
    <t>1. Model: MateBook X Pro 2024
2. PN: A1234-56783. 无型号：无型号</t>
  </si>
  <si>
    <t>1. MateBook X Pro（省略 “2024” 完整标识）
2. A1234（省略 “-5678”）
3. 通用款（无型号时自定义）</t>
  </si>
  <si>
    <t>型号需照抄商品标注，不可自行简化或编造</t>
  </si>
  <si>
    <r>
      <rPr>
        <b/>
        <sz val="14"/>
        <color rgb="FFFF0000"/>
        <rFont val="微软雅黑"/>
        <charset val="134"/>
      </rPr>
      <t>*</t>
    </r>
    <r>
      <rPr>
        <b/>
        <sz val="14"/>
        <color theme="1"/>
        <rFont val="微软雅黑"/>
        <charset val="134"/>
      </rPr>
      <t>用途</t>
    </r>
  </si>
  <si>
    <t>填写核心使用场景（简洁中文，如 “家用”“商用”“户外”），需与商品属性匹配。</t>
  </si>
  <si>
    <t>1. 家用（日常饮水保温）
2. 商用（办公室文件存储）
3. 户外露营（临时居住）</t>
  </si>
  <si>
    <t>1. 使用（表述模糊，无实际意义）
2. 装东西（仅说明功能，未标场景）
3. 家用（用于工业生产，场景不符）</t>
  </si>
  <si>
    <t>避免场景与商品功能脱节，如 “儿童玩具” 不可填 “商用”</t>
  </si>
  <si>
    <t>1. 带电：选 “带电 ”；
2. 带磁：选 “带磁”；
3. 无电无磁无纺织品：选 “普货”。</t>
  </si>
  <si>
    <t>1. 带电（如无线耳机）
2. 带磁（如音箱）
3. 普货（如塑料制品）</t>
  </si>
  <si>
    <t>1. 带电（实际带电+带磁）
2. 无（实际带磁商品）</t>
  </si>
  <si>
    <t>带电 / 带磁商品需额外提供电池备案 / 磁检报告（如涉及）</t>
  </si>
  <si>
    <r>
      <rPr>
        <b/>
        <sz val="14"/>
        <color rgb="FFFF0000"/>
        <rFont val="微软雅黑"/>
        <charset val="134"/>
      </rPr>
      <t>*</t>
    </r>
    <r>
      <rPr>
        <b/>
        <sz val="14"/>
        <color theme="1"/>
        <rFont val="微软雅黑"/>
        <charset val="134"/>
      </rPr>
      <t>总箱数</t>
    </r>
  </si>
  <si>
    <t>填写实际总箱数（阿拉伯数字，不可用约数）。</t>
  </si>
  <si>
    <t>8、15、2</t>
  </si>
  <si>
    <t>约 8 箱、八箱（中文数字）、8 箱（多写 “箱” 字）</t>
  </si>
  <si>
    <t>需与 FBA 箱号范围联动（总箱数 = FBA 终止号 - 起始号 ）</t>
  </si>
  <si>
    <t>单箱净重（KG）</t>
  </si>
  <si>
    <t>单箱货物自身重量（不含包装），精确到小数点后 1-2 位，不可用约数。</t>
  </si>
  <si>
    <t>3.2、8.51、1.00</t>
  </si>
  <si>
    <t>约 3KG</t>
  </si>
  <si>
    <t>需实际称重，误差超 5% 可能导致物流费用调整或海关质疑</t>
  </si>
  <si>
    <t>单箱毛重（KG）</t>
  </si>
  <si>
    <t>单箱货物 + 包装总重量，精确到小数点后 1-2 位，单位 “KG”，毛重必须＞净重。</t>
  </si>
  <si>
    <t>4.0（净重 3.2KG + 包装 0.8KG）、9.81（净重 8.51KG + 包装 1.3KG）</t>
  </si>
  <si>
    <t>约 4KG、3.0（毛重＜净重 3.2KG）</t>
  </si>
  <si>
    <t>毛重 = 净重 + 包装重量，确保逻辑合理，不可倒挂</t>
  </si>
  <si>
    <r>
      <rPr>
        <b/>
        <sz val="14"/>
        <color rgb="FFFF0000"/>
        <rFont val="微软雅黑"/>
        <charset val="134"/>
      </rPr>
      <t>*</t>
    </r>
    <r>
      <rPr>
        <b/>
        <sz val="14"/>
        <color theme="1"/>
        <rFont val="微软雅黑"/>
        <charset val="134"/>
      </rPr>
      <t>单箱个数</t>
    </r>
  </si>
  <si>
    <t>每箱内装商品实际数量（阿拉伯数字，必须为整数，不可用约数）。</t>
  </si>
  <si>
    <t>20（每箱 20 件 T 恤）、12（每箱 12 个保温杯）</t>
  </si>
  <si>
    <t>约 20 件、二十（中文数字）、20 个（多写 “个” 字）</t>
  </si>
  <si>
    <t>需与 “总箱数”“产品总个数” 联动（产品总个数 = 总箱数 × 单箱个数）</t>
  </si>
  <si>
    <r>
      <rPr>
        <b/>
        <sz val="14"/>
        <color rgb="FFFF0000"/>
        <rFont val="微软雅黑"/>
        <charset val="134"/>
      </rPr>
      <t>*</t>
    </r>
    <r>
      <rPr>
        <b/>
        <sz val="14"/>
        <color theme="1"/>
        <rFont val="微软雅黑"/>
        <charset val="134"/>
      </rPr>
      <t>产品总个数</t>
    </r>
  </si>
  <si>
    <t>按 “总箱数 × 单箱个数” 计算（阿拉伯数字，不可用约数）。</t>
  </si>
  <si>
    <t>总箱数 8× 单箱个数 20=160、总箱数 5× 单箱个数 12=60</t>
  </si>
  <si>
    <t>约 160、159（计算错误）、160 件（多写 “件” 字）</t>
  </si>
  <si>
    <t>需逐箱核对数量，避免因计算错误导致库存差异</t>
  </si>
  <si>
    <r>
      <rPr>
        <b/>
        <sz val="14"/>
        <color rgb="FFFF0000"/>
        <rFont val="微软雅黑"/>
        <charset val="134"/>
      </rPr>
      <t>*</t>
    </r>
    <r>
      <rPr>
        <b/>
        <sz val="14"/>
        <color theme="1"/>
        <rFont val="微软雅黑"/>
        <charset val="134"/>
      </rPr>
      <t>申报单价</t>
    </r>
  </si>
  <si>
    <r>
      <rPr>
        <b/>
        <sz val="10"/>
        <rFont val="微软雅黑"/>
        <charset val="134"/>
      </rPr>
      <t>1. 自税渠道按目的国链接比例填写：</t>
    </r>
    <r>
      <rPr>
        <sz val="10"/>
        <rFont val="微软雅黑"/>
        <charset val="134"/>
      </rPr>
      <t xml:space="preserve">
</t>
    </r>
    <r>
      <rPr>
        <b/>
        <sz val="10"/>
        <rFont val="微软雅黑"/>
        <charset val="134"/>
      </rPr>
      <t>欧盟（EUR）：</t>
    </r>
    <r>
      <rPr>
        <sz val="10"/>
        <rFont val="微软雅黑"/>
        <charset val="134"/>
      </rPr>
      <t xml:space="preserve">≥平台售价30%-35%
</t>
    </r>
    <r>
      <rPr>
        <b/>
        <sz val="10"/>
        <rFont val="微软雅黑"/>
        <charset val="134"/>
      </rPr>
      <t>英/美/加（GBP/USD/CAD）：</t>
    </r>
    <r>
      <rPr>
        <sz val="10"/>
        <rFont val="微软雅黑"/>
        <charset val="134"/>
      </rPr>
      <t>≥平台售价20%
2. 保留2位小数，单位与申报币种一致。</t>
    </r>
  </si>
  <si>
    <t>1. 欧盟（平台售价 100EUR）：35.00EUR
2. 美国（平台售价 80USD）：16.00USD
3. 英国（平台售价 80GBP）：16.00GBP</t>
  </si>
  <si>
    <t>1. 欧盟 25.00EUR（低于 30% 标准）
2. 英国 16.00EUR（币种错误）</t>
  </si>
  <si>
    <r>
      <rPr>
        <sz val="10"/>
        <rFont val="微软雅黑"/>
        <charset val="134"/>
      </rPr>
      <t>欧盟清关目前主要分为</t>
    </r>
    <r>
      <rPr>
        <sz val="10"/>
        <color rgb="FFFF0000"/>
        <rFont val="微软雅黑"/>
        <charset val="134"/>
      </rPr>
      <t>“逆算”</t>
    </r>
    <r>
      <rPr>
        <sz val="10"/>
        <rFont val="微软雅黑"/>
        <charset val="134"/>
      </rPr>
      <t>与</t>
    </r>
    <r>
      <rPr>
        <sz val="10"/>
        <color rgb="FFFF0000"/>
        <rFont val="微软雅黑"/>
        <charset val="134"/>
      </rPr>
      <t>“非逆算”</t>
    </r>
    <r>
      <rPr>
        <sz val="10"/>
        <rFont val="微软雅黑"/>
        <charset val="134"/>
      </rPr>
      <t xml:space="preserve">两种方式。其中，逆算的计算逻辑较为复杂，其最终申报单价并非固定按售价的30%–35%——该比例仅供客户在预估成本或填写时作为粗略参考，实际申报单价需根据各项扣除项动态计算得出，且应以海关认可的金额为准。
为确保申报合规，建议您妥善留存平台售价截图等佐证材料，并据实申报，切勿为降低税费而刻意低报，以免触发海关重点稽查。
</t>
    </r>
    <r>
      <rPr>
        <b/>
        <sz val="10"/>
        <color rgb="FFFF0000"/>
        <rFont val="微软雅黑"/>
        <charset val="134"/>
      </rPr>
      <t>免责说明：以上建议基于我司实务经验整理，仅供客户参考，不构成法律或税务意见。最终清关认定以海关实际审核结果为准。</t>
    </r>
  </si>
  <si>
    <r>
      <rPr>
        <b/>
        <sz val="14"/>
        <color rgb="FFFF0000"/>
        <rFont val="微软雅黑"/>
        <charset val="134"/>
      </rPr>
      <t>*</t>
    </r>
    <r>
      <rPr>
        <b/>
        <sz val="14"/>
        <color theme="1"/>
        <rFont val="微软雅黑"/>
        <charset val="134"/>
      </rPr>
      <t>申报总价</t>
    </r>
  </si>
  <si>
    <t>按 “申报单价 × 产品总个数” 计算，保留 2 位小数，单位与申报币种一致。</t>
  </si>
  <si>
    <t>1. 35.00EUR×160=5600.00EUR
2. 16.00USD×60=960.00USD</t>
  </si>
  <si>
    <t>1. 35.00EUR×160=5599.00EUR（计算错误）
2.  960.00EUR（币种错误）</t>
  </si>
  <si>
    <t>海关可能核对单价与总价逻辑，确保无计算误差</t>
  </si>
  <si>
    <r>
      <rPr>
        <b/>
        <sz val="14"/>
        <color rgb="FFFF0000"/>
        <rFont val="微软雅黑"/>
        <charset val="134"/>
      </rPr>
      <t>*</t>
    </r>
    <r>
      <rPr>
        <b/>
        <sz val="14"/>
        <color theme="1"/>
        <rFont val="微软雅黑"/>
        <charset val="134"/>
      </rPr>
      <t>申报币种</t>
    </r>
  </si>
  <si>
    <t>按目的国固定选择，不可混用：欧盟 = EUR、英国 = GBP、美国 = USD、加拿大 = CAD、澳洲 = AUD</t>
  </si>
  <si>
    <t>1. 欧盟→EUR
2. 美国→USD
3. 英国→GBP
4. 澳洲→AUD</t>
  </si>
  <si>
    <t>1. 美国→EUR（币种与目的国不匹配）2. 欧盟→欧元（中文表述，需用 “EUR”）
3. 英国→USD（币种错误）</t>
  </si>
  <si>
    <t>币种错误会导致申报价值差异，需重新提供。</t>
  </si>
  <si>
    <t>填写实际采购成本单价，保留 2 位小数，单位与采购币种一致。</t>
  </si>
  <si>
    <t>50.00CNY、8.50USD、12.00GBP</t>
  </si>
  <si>
    <t>1. 约 50 元（模糊表述）</t>
  </si>
  <si>
    <t>需与采购合同、发票金额一致，不可虚报，避免财务核对纠纷</t>
  </si>
  <si>
    <t>按 “采购单价 × 产品总个数” 计算，保留
 2 位小数，单位与采购币种一致。</t>
  </si>
  <si>
    <t>1. 50.00CNY×160=8000.00CNY
2. 8.50USD×60=510.00USD</t>
  </si>
  <si>
    <t>1. 50.00CNY×160=7999.00CNY（计算错误）
2. 8.50USD×60=510（缺小数点后 2 位）</t>
  </si>
  <si>
    <t>需与采购发票总金额一致，确保成本逻辑合理</t>
  </si>
  <si>
    <t>采购币种</t>
  </si>
  <si>
    <t>默认 “CNY”（人民币）；外币采购填对应币种代码（如 USD、EUR）。</t>
  </si>
  <si>
    <t>1. 国内采购→CNY
2. 美国采购→USD
3. 欧盟采购→EUR</t>
  </si>
  <si>
    <t>1. 国内采购→人民币（中文表述，需用 “CNY”）
2. 美国采购→美币（需用 “USD”）
3. 欧盟采购→CNY（币种错误）</t>
  </si>
  <si>
    <t>需与采购凭证币种一致，便于财务做账和核对</t>
  </si>
  <si>
    <r>
      <rPr>
        <b/>
        <sz val="14"/>
        <color rgb="FFFF0000"/>
        <rFont val="微软雅黑"/>
        <charset val="134"/>
      </rPr>
      <t>*</t>
    </r>
    <r>
      <rPr>
        <b/>
        <sz val="14"/>
        <color theme="1"/>
        <rFont val="微软雅黑"/>
        <charset val="134"/>
      </rPr>
      <t>长（cm）</t>
    </r>
  </si>
  <si>
    <t>单箱外箱最长边长度，精确到小数点后 1 位，单位 “cm”，不可用约数。</t>
  </si>
  <si>
    <t>50.0、38.5、45.2</t>
  </si>
  <si>
    <t>约 50cm</t>
  </si>
  <si>
    <t>需实际测量，尺寸误差可能导致物流箱规不符、拒收</t>
  </si>
  <si>
    <r>
      <rPr>
        <b/>
        <sz val="14"/>
        <color rgb="FFFF0000"/>
        <rFont val="微软雅黑"/>
        <charset val="134"/>
      </rPr>
      <t>*</t>
    </r>
    <r>
      <rPr>
        <b/>
        <sz val="14"/>
        <color theme="1"/>
        <rFont val="微软雅黑"/>
        <charset val="134"/>
      </rPr>
      <t>宽（cm）</t>
    </r>
  </si>
  <si>
    <t>单箱外箱次长边宽度，精确到小数点后 1 位，单位 “cm”，不可用约数。</t>
  </si>
  <si>
    <t>30.0、25.8、32.1</t>
  </si>
  <si>
    <t>约 30cm</t>
  </si>
  <si>
    <t>需与 “长”“高” 区分，不可混淆边的定义（长＞宽＞高）</t>
  </si>
  <si>
    <r>
      <rPr>
        <b/>
        <sz val="14"/>
        <color rgb="FFFF0000"/>
        <rFont val="微软雅黑"/>
        <charset val="134"/>
      </rPr>
      <t>*</t>
    </r>
    <r>
      <rPr>
        <b/>
        <sz val="14"/>
        <color theme="1"/>
        <rFont val="微软雅黑"/>
        <charset val="134"/>
      </rPr>
      <t>高（cm）</t>
    </r>
  </si>
  <si>
    <t>单箱外箱最短边高度，精确到小数点后 1 位，单位 “cm”，不可用约数。</t>
  </si>
  <si>
    <t>40.0、18.2、20.5</t>
  </si>
  <si>
    <t>约 40cm</t>
  </si>
  <si>
    <t>外箱体积 = 长 × 宽 × 高，需与物流渠道限制匹配（如重量、体积重）</t>
  </si>
  <si>
    <r>
      <rPr>
        <b/>
        <sz val="14"/>
        <color rgb="FFFF0000"/>
        <rFont val="微软雅黑"/>
        <charset val="134"/>
      </rPr>
      <t>※</t>
    </r>
    <r>
      <rPr>
        <b/>
        <sz val="14"/>
        <color theme="1"/>
        <rFont val="微软雅黑"/>
        <charset val="134"/>
      </rPr>
      <t>图片（必填）</t>
    </r>
  </si>
  <si>
    <t>1. 格式：浮动图片，完整放入单元格（不可偏移 / 裁剪）；
2. 内容：清晰展示商品外观、品牌 LOGO、型号标签；
3. 数量：1 单元格 1 张图（多图仅识别最上方 1 张）。</t>
  </si>
  <si>
    <t>1. 卫衣正面图（浮动状态，清晰显示 “耐克 NIKE” LOGO、“Model: HW-2024”）
2. 高压锅侧面图（完整展示 “5L” 容量标识）</t>
  </si>
  <si>
    <t>1. 图片偏移出单元格
2. 图片模糊（LOGO 无法辨认）
3. 多张图片重叠（仅最上方 1 张有效）</t>
  </si>
  <si>
    <t>建议用白底图，上传后预览确认位置；图片需能体现商品关键信息</t>
  </si>
  <si>
    <r>
      <rPr>
        <b/>
        <sz val="14"/>
        <color rgb="FFFF0000"/>
        <rFont val="微软雅黑"/>
        <charset val="134"/>
      </rPr>
      <t>※</t>
    </r>
    <r>
      <rPr>
        <b/>
        <sz val="14"/>
        <color theme="1"/>
        <rFont val="微软雅黑"/>
        <charset val="134"/>
      </rPr>
      <t>产品在平台链接
（必填）</t>
    </r>
  </si>
  <si>
    <r>
      <rPr>
        <b/>
        <sz val="10"/>
        <rFont val="微软雅黑"/>
        <charset val="134"/>
      </rPr>
      <t>1. 自税渠道：</t>
    </r>
    <r>
      <rPr>
        <sz val="10"/>
        <rFont val="微软雅黑"/>
        <charset val="134"/>
      </rPr>
      <t xml:space="preserve">提供有效亚马逊链接（可打开，与申报商品一致）；
</t>
    </r>
    <r>
      <rPr>
        <b/>
        <sz val="10"/>
        <rFont val="微软雅黑"/>
        <charset val="134"/>
      </rPr>
      <t>2. 包税渠道：</t>
    </r>
    <r>
      <rPr>
        <sz val="10"/>
        <rFont val="微软雅黑"/>
        <charset val="134"/>
      </rPr>
      <t>无链接填 “/”，不可空白。</t>
    </r>
  </si>
  <si>
    <r>
      <rPr>
        <sz val="10"/>
        <rFont val="微软雅黑"/>
        <charset val="134"/>
      </rPr>
      <t>1. 自税（美国站）：https://www.amazon.com/dp/B0BZ1234567
2. 包税（无链接）：/</t>
    </r>
  </si>
  <si>
    <t>1. 自税填无效链接（无法打开）
2. 自税空白不填
3. 包税填 “无链接”（未按要求填 “/”）</t>
  </si>
  <si>
    <t>自税链接需能正常访问，海关可能通过链接核对平台售价与申报价比例</t>
  </si>
  <si>
    <t>1.到亚马逊：填写FBA货件编号/STAR编号
2.到海外仓：填写海外仓入仓编号
3.自定义：可自行编辑，亦可不填；
唯一性要求：参考编号不可重复。如同一订单需分批下单，可在编号后添加“-1、-2”等后缀加以区分。</t>
  </si>
  <si>
    <t>1. FBA123456789/STAR-X4XXXXXX6FCMW
2.DDD123</t>
  </si>
  <si>
    <t>1.下单A亚马逊编号，填写B亚马逊编号
2.相同参考编号不加后缀重复使用</t>
  </si>
  <si>
    <t>具有唯一性，不可重复，如不填写可用D单查找对应订单</t>
  </si>
  <si>
    <r>
      <rPr>
        <b/>
        <sz val="14"/>
        <color rgb="FFFF0000"/>
        <rFont val="微软雅黑"/>
        <charset val="134"/>
      </rPr>
      <t>*</t>
    </r>
    <r>
      <rPr>
        <b/>
        <sz val="14"/>
        <rFont val="微软雅黑"/>
        <charset val="134"/>
      </rPr>
      <t>PO NO</t>
    </r>
  </si>
  <si>
    <t>1.填写亚马逊平台生成的8位PO号（从卖家后台“订单管理”复制，不可错填/漏填）；
2.非FBA可不填</t>
  </si>
  <si>
    <t>正确：12345678</t>
  </si>
  <si>
    <t>错误：123456（非8位标准格式）、自家订单号001</t>
  </si>
  <si>
    <t>需与平台订单一致，错误会导致无法预约，或送至错误地址</t>
  </si>
  <si>
    <t>否，仅调整填写顺序</t>
  </si>
  <si>
    <t>1.格式要求：日期 + 时间；
2.请根据货物实际情况，填写预计送达我司仓库时间（也可填写预计货好时间）</t>
  </si>
  <si>
    <t>1.8/8
2.8月8
3.2026/8/8（无时间）</t>
  </si>
  <si>
    <t>预计到仓时间影响排柜计划，请尽量准确填写，
如有变动请及时通知跟单客服。</t>
  </si>
  <si>
    <t>根据实际情况选择，不可自定义：
FBA仓
FBA卫星仓
WAL仓
嘀仓海外仓
海外仓
私人地址</t>
  </si>
  <si>
    <t>1.送FBA仓地址类型选择私人地址
2.为空</t>
  </si>
  <si>
    <t>1.先选类型，再决定是否填仓库代码
2.地址类型错误会影响后续具体地址匹配、以及下单失败</t>
  </si>
  <si>
    <t>1.FBA：填写亚马逊FBA仓库代码（如 ONT8、MAN1）。
2.大型海外仓：填写报价表上对应地址的仓库编码，如4PX-25261
3.无代码的商业/私人地址可不填</t>
  </si>
  <si>
    <t>1. 美国仓→ONT8、LAX92. 英国仓→MAN1、LHR33. 德国仓→MUC3、FRA1</t>
  </si>
  <si>
    <t>1. 美国加州仓（需用代码 “ONT8”）
2. ONT（代码缩写，缺 1 位）
3. MAN（代码缩写，缺 1 位）
4.私人地址填了仓库代码</t>
  </si>
  <si>
    <t>1.先视仓库类型决定是否需要填写
2.仓库代码错误会导致货物错发，需逐位核对平台仓单信息</t>
  </si>
  <si>
    <t>1.填写仓库编码公式自动匹配
2.无仓库编码，根据实际情况填写收件所在国家，建议用英文或标准国家代码</t>
  </si>
  <si>
    <t>US</t>
  </si>
  <si>
    <t>美国</t>
  </si>
  <si>
    <t>须与城市、邮编保持一致</t>
  </si>
  <si>
    <t>填写完整英文地址（含街道、城市、州 / 省、邮编、国家），如前面填写了仓库代码自行匹配</t>
  </si>
  <si>
    <t>1. ONT8：2430 E Central Ave, Ontario, CA 91761, USA
2. MAN1：1 Amazon Way, Manchester, M40 8AG, UK</t>
  </si>
  <si>
    <t>1. Ontario, CA（地址不完整，缺街道、邮编）
2. 2430 E Central Ave, Los Angeles, CA 90001, USA（与 ONT8 代码不匹配）3. 亚马逊路 1 号，曼彻斯特（中文地址，需用英文）</t>
  </si>
  <si>
    <t>需从平台仓单完整复制，避免拼写错误（如 “Ave” 误写为 “Av”）</t>
  </si>
  <si>
    <t>1.填写仓库编码公式自动匹配
2.无仓库编码，填写收件地址对应的准确邮政编码，须与城市、国家匹配</t>
  </si>
  <si>
    <t>自行编辑</t>
  </si>
  <si>
    <t>邮编错误会导致派送失败/或派送错误地址</t>
  </si>
  <si>
    <t>1.填写仓库编码公式自动匹配
2.填写州、省或地区的全称或缩写</t>
  </si>
  <si>
    <t>Berlin</t>
  </si>
  <si>
    <t>不填</t>
  </si>
  <si>
    <t>填写错误会导致派送失败/或派送错误地址</t>
  </si>
  <si>
    <r>
      <rPr>
        <b/>
        <sz val="14"/>
        <color rgb="FFFF0000"/>
        <rFont val="微软雅黑"/>
        <charset val="134"/>
      </rPr>
      <t>*</t>
    </r>
    <r>
      <rPr>
        <b/>
        <sz val="14"/>
        <rFont val="微软雅黑"/>
        <charset val="134"/>
      </rPr>
      <t>收件城市</t>
    </r>
  </si>
  <si>
    <t>1.填写仓库编码公式自动匹配
2.无仓库编码，根据实际情况填写</t>
  </si>
  <si>
    <t>Los Angeles</t>
  </si>
  <si>
    <t>Los Angele（缺少S）</t>
  </si>
  <si>
    <t>须与邮编、国家一致</t>
  </si>
  <si>
    <t>填写公司法定注册全称，包含法律形式后缀（如 GmbH、AG、Sp. z o.o.），不写个人姓名</t>
  </si>
  <si>
    <t>DDD GmbH、Procent Poland Sp. z o.o.、BMW AG</t>
  </si>
  <si>
    <t>DDD（缺后缀）、DDD公司（中文）、Herr Schmidt（人名）</t>
  </si>
  <si>
    <t>部分地址缺少可能导致投递失败</t>
  </si>
  <si>
    <r>
      <rPr>
        <b/>
        <sz val="14"/>
        <color rgb="FFFF0000"/>
        <rFont val="微软雅黑"/>
        <charset val="134"/>
      </rPr>
      <t>*</t>
    </r>
    <r>
      <rPr>
        <b/>
        <sz val="14"/>
        <rFont val="微软雅黑"/>
        <charset val="134"/>
      </rPr>
      <t>收件人</t>
    </r>
  </si>
  <si>
    <t>1.填写仓库编码公式自动匹配
2.无仓库编码，填写实际签收人信息</t>
  </si>
  <si>
    <t>DDD</t>
  </si>
  <si>
    <t>张三</t>
  </si>
  <si>
    <t>正确填写</t>
  </si>
  <si>
    <r>
      <rPr>
        <b/>
        <sz val="14"/>
        <color rgb="FFFF0000"/>
        <rFont val="微软雅黑"/>
        <charset val="134"/>
      </rPr>
      <t>*</t>
    </r>
    <r>
      <rPr>
        <b/>
        <sz val="14"/>
        <rFont val="微软雅黑"/>
        <charset val="134"/>
      </rPr>
      <t>收件电话</t>
    </r>
  </si>
  <si>
    <t>1.填写仓库编码公式自动匹配
2.无仓库编码，填写收件人有效联系电话，含国际区号</t>
  </si>
  <si>
    <t>+1 310 555 1212</t>
  </si>
  <si>
    <t>1234567（缺区号）</t>
  </si>
  <si>
    <t>派送必备，务必准确</t>
  </si>
  <si>
    <t>使用国际通用格式，全部小写，@ 前后均不含空格或特殊字符（如中文符号）。域名应为有效注册域名，或使用国际标准测试域</t>
  </si>
  <si>
    <r>
      <rPr>
        <sz val="11"/>
        <rFont val="宋体"/>
        <charset val="0"/>
        <scheme val="minor"/>
      </rPr>
      <t>1.info@ddd.de
2.contact@example.com
3.sales@procent.pl</t>
    </r>
  </si>
  <si>
    <r>
      <rPr>
        <sz val="11"/>
        <rFont val="宋体"/>
        <charset val="0"/>
        <scheme val="minor"/>
      </rPr>
      <t>1.info@ddd,de（逗号）
2.INFO@DDD.DE（大写）
3.info@ddd公司.de（中文字符）
4.info@ddd（缺域名后缀）</t>
    </r>
  </si>
  <si>
    <t>邮箱错误可能到位无法提前预约等操作</t>
  </si>
  <si>
    <t>正确填写我司可出货线路，不可自定义编辑，删增字段</t>
  </si>
  <si>
    <t>美国海运-钻龙特运卡派(BS)-华南</t>
  </si>
  <si>
    <t>钻龙/普船</t>
  </si>
  <si>
    <t>指定线路如原计划下A渠道填写为B会影响价格，请慎重</t>
  </si>
  <si>
    <t>1.如需出口退税填写自备，反之填写买单
2.如部分报关选择填写为自备，在备注栏位填写实际需要报关箱号/品名</t>
  </si>
  <si>
    <t>根据实际情况填写</t>
  </si>
  <si>
    <t>未选，自备选择买单</t>
  </si>
  <si>
    <t>填写错误可能会导致漏报关/或时效延误</t>
  </si>
  <si>
    <t>根据路线自动匹配，例如渠道带有BS则为包税、带有ZS则为自税</t>
  </si>
  <si>
    <t>表格自动识别</t>
  </si>
  <si>
    <t>选错与实际线路不匹配，下单渠道BS手动改为ZS</t>
  </si>
  <si>
    <t>根据所选线路自动匹配，不可自定义；
选择ZS需提前确认资料是否齐全，否则影响清关带来额外费用</t>
  </si>
  <si>
    <t>如识别清关方式，包税为空，反之则需自行判断是否递延</t>
  </si>
  <si>
    <t>是 / 否</t>
  </si>
  <si>
    <t>须提前确认，递延需资质</t>
  </si>
  <si>
    <t>1.自税时填写；
2.美国自税可填1
3.可填后补
4.填写时需要确保系统已维护税号信息</t>
  </si>
  <si>
    <t>1.英国: GB123456789
2.德国：DE123456789
3.法国：FR12345648911</t>
  </si>
  <si>
    <t>1.英国: 123456789（缺前缀标识）、留空（实际需要时）
2.德国：DE123456 VAT12345  （格式不规范）
3.法国：FR1234  5678911（空格）</t>
  </si>
  <si>
    <t>需确保系统中已维护对应税号信息</t>
  </si>
  <si>
    <t>根据实际需求填写，例如：特殊派送要求、约仓时段、联系人分机等补充信息</t>
  </si>
  <si>
    <t>1.A跟B订单需要合并报关
2.该票部分报关，XX品名买单
3.海外仓特殊入仓要求
（需提前1天预约，9:00-17:00派送）
4.其他</t>
  </si>
  <si>
    <t>1.无  （有需求时不写清楚）
2.看上面  （无效信息）
3.填写与货物无关的内容
4.前面填写A地址备注送B地址（前后矛盾）</t>
  </si>
  <si>
    <t>非必填但有特殊需求时必须在此说明；
涉及报关、贴标、合并等操作务必写清楚，避免漏操作</t>
  </si>
  <si>
    <t>补充注意事项与风险提醒</t>
  </si>
  <si>
    <r>
      <rPr>
        <b/>
        <sz val="10"/>
        <color rgb="FFC00000"/>
        <rFont val="微软雅黑"/>
        <charset val="134"/>
      </rPr>
      <t>资料时效：</t>
    </r>
    <r>
      <rPr>
        <b/>
        <sz val="10"/>
        <color theme="1"/>
        <rFont val="微软雅黑"/>
        <charset val="134"/>
      </rPr>
      <t>需在货物抵仓前（参考截单时间）提交完整报关资料（合同、发票、箱单等），逾期可能导致货物滞留仓库，无法按原计划出运，产生额外费用。</t>
    </r>
    <r>
      <rPr>
        <b/>
        <sz val="10"/>
        <color rgb="FFC00000"/>
        <rFont val="微软雅黑"/>
        <charset val="134"/>
      </rPr>
      <t xml:space="preserve">
信息一致性：</t>
    </r>
    <r>
      <rPr>
        <b/>
        <sz val="10"/>
        <color theme="1"/>
        <rFont val="微软雅黑"/>
        <charset val="134"/>
      </rPr>
      <t>核心字段（品名、HS 编码、品牌、型号）需与商品标签、包装、平台链接完全一致，如 “中文品名纯棉卫衣” 不可对应 “HS 编码 6110300090（化纤卫衣编码）”。</t>
    </r>
    <r>
      <rPr>
        <b/>
        <sz val="10"/>
        <color rgb="FFC00000"/>
        <rFont val="微软雅黑"/>
        <charset val="134"/>
      </rPr>
      <t xml:space="preserve">
认证要求：</t>
    </r>
    <r>
      <rPr>
        <b/>
        <sz val="10"/>
        <color theme="1"/>
        <rFont val="微软雅黑"/>
        <charset val="134"/>
      </rPr>
      <t>产品涉及UL、Bluetooth等认证的，需同步提供有效授权证书（含型号、有效期）。</t>
    </r>
  </si>
  <si>
    <t>申报不实风险</t>
  </si>
  <si>
    <r>
      <rPr>
        <b/>
        <sz val="10"/>
        <color rgb="FFC00000"/>
        <rFont val="微软雅黑"/>
        <charset val="134"/>
      </rPr>
      <t>通关延误：</t>
    </r>
    <r>
      <rPr>
        <b/>
        <sz val="10"/>
        <color theme="1"/>
        <rFont val="微软雅黑"/>
        <charset val="134"/>
      </rPr>
      <t>查验、删改单导致货物滞留；</t>
    </r>
    <r>
      <rPr>
        <b/>
        <sz val="10"/>
        <color rgb="FFC00000"/>
        <rFont val="微软雅黑"/>
        <charset val="134"/>
      </rPr>
      <t xml:space="preserve">
额外费用：</t>
    </r>
    <r>
      <rPr>
        <b/>
        <sz val="10"/>
        <color theme="1"/>
        <rFont val="微软雅黑"/>
        <charset val="134"/>
      </rPr>
      <t>查验费、滞箱费等由责任方承担；</t>
    </r>
    <r>
      <rPr>
        <b/>
        <sz val="10"/>
        <color rgb="FFC00000"/>
        <rFont val="微软雅黑"/>
        <charset val="134"/>
      </rPr>
      <t xml:space="preserve">
法律风险：</t>
    </r>
    <r>
      <rPr>
        <b/>
        <sz val="10"/>
        <color theme="1"/>
        <rFont val="微软雅黑"/>
        <charset val="134"/>
      </rPr>
      <t>违反《海关法》面临行政处罚，情节严重追究刑事责任；</t>
    </r>
    <r>
      <rPr>
        <b/>
        <sz val="10"/>
        <color rgb="FFC00000"/>
        <rFont val="微软雅黑"/>
        <charset val="134"/>
      </rPr>
      <t xml:space="preserve">
信用受损：</t>
    </r>
    <r>
      <rPr>
        <b/>
        <sz val="10"/>
        <color theme="1"/>
        <rFont val="微软雅黑"/>
        <charset val="134"/>
      </rPr>
      <t>影响海关信用等级，降低后续通关便利。</t>
    </r>
  </si>
  <si>
    <t>温馨提示：</t>
  </si>
  <si>
    <t>1.表格第一列为表头，请勿修改；
2.请完整填写所有标*栏位，否则系统无法识别并提交订单；
3.表格前2列已预设公式，如需新增行，可复制使用；
4.所有新增栏位除序号外，均为原系统需要额外填写字段，填写顺序：先选【仓库类型】，再决定是否需要填【仓库代码】</t>
  </si>
  <si>
    <t>免责声明
本表格内所有填写建议、比例参考、数据指引及操作提示，均系我司基于行业经验整理，仅供客户参考之用，不构成任何法律、税务、海关申报或其他专业领域的正式意见或承诺。客户应结合自身实际情况，独立核实并自行决定最终申报内容，对申报行为的合法性、真实性及准确性承担全部责任。我司不对因使用本表格信息而引发的任何直接或间接损失、风险或法律后果承担责任。所有事项的最终认定，均以相关主管部门的实际审核结果为准。</t>
  </si>
  <si>
    <t>目的地编码</t>
  </si>
  <si>
    <t>仓库类型</t>
  </si>
  <si>
    <t>仓库编码</t>
  </si>
  <si>
    <t>目的地</t>
  </si>
  <si>
    <t>地址</t>
  </si>
  <si>
    <t>州省</t>
  </si>
  <si>
    <t>城市</t>
  </si>
  <si>
    <t>邮编</t>
  </si>
  <si>
    <t>收件人</t>
  </si>
  <si>
    <t>公司</t>
  </si>
  <si>
    <t>电话</t>
  </si>
  <si>
    <t>6835 West Buckeye Road</t>
  </si>
  <si>
    <t>AZ</t>
  </si>
  <si>
    <t>Phoenix</t>
  </si>
  <si>
    <t>85043</t>
  </si>
  <si>
    <t>Amazon  PHX3</t>
  </si>
  <si>
    <t>Amazon Fulfillment Center  PHX3</t>
  </si>
  <si>
    <t>0000000000</t>
  </si>
  <si>
    <t>PHX5</t>
  </si>
  <si>
    <t>16920 W Commerce Drive</t>
  </si>
  <si>
    <t>Goodyear</t>
  </si>
  <si>
    <t>85338</t>
  </si>
  <si>
    <t>Amazon  PHX5</t>
  </si>
  <si>
    <t>Amazon Fulfillment Center  PHX5</t>
  </si>
  <si>
    <t>PHX6</t>
  </si>
  <si>
    <t>4750 West Mohave St</t>
  </si>
  <si>
    <t>85043-8305</t>
  </si>
  <si>
    <t>Amazon  PHX6</t>
  </si>
  <si>
    <t>Amazon Fulfillment Center  PHX6</t>
  </si>
  <si>
    <t>PHX7</t>
  </si>
  <si>
    <t>800 N 75th Ave</t>
  </si>
  <si>
    <t>Amazon  PHX7</t>
  </si>
  <si>
    <t>Amazon Fulfillment Center PHX7</t>
  </si>
  <si>
    <t>ONT2</t>
  </si>
  <si>
    <t>1910 E central Ave</t>
  </si>
  <si>
    <t>CA</t>
  </si>
  <si>
    <t>San Bernardino</t>
  </si>
  <si>
    <t>92408-0123</t>
  </si>
  <si>
    <t>Amazon(ONT2)</t>
  </si>
  <si>
    <t>Amazon Fulfillment Center(ONT2)</t>
  </si>
  <si>
    <t>ONT6</t>
  </si>
  <si>
    <t>24208 San Michele Rd</t>
  </si>
  <si>
    <t>Moreno Valley</t>
  </si>
  <si>
    <t>92551</t>
  </si>
  <si>
    <t>Amazon(ONT6)</t>
  </si>
  <si>
    <t>Amazon Fulfillment Center(ONT6)</t>
  </si>
  <si>
    <t>ONT8</t>
  </si>
  <si>
    <t>24300 Nandina Ave</t>
  </si>
  <si>
    <t>Amazon(ONT8)</t>
  </si>
  <si>
    <t>Amazon Fulfillment Center(ONT8)</t>
  </si>
  <si>
    <t>OAK4</t>
  </si>
  <si>
    <t>1555 N. Chrisman Rd</t>
  </si>
  <si>
    <t>Tracy</t>
  </si>
  <si>
    <t>95304-9370</t>
  </si>
  <si>
    <t>Amazon  OAK4</t>
  </si>
  <si>
    <t>Amazon Fulfillment Center  OAK4</t>
  </si>
  <si>
    <t>OAK3</t>
  </si>
  <si>
    <t>255 Park Center Drive</t>
  </si>
  <si>
    <t>Patterson</t>
  </si>
  <si>
    <t>95363-8876</t>
  </si>
  <si>
    <t>Amazon  OAK3</t>
  </si>
  <si>
    <t>Amazon Fulfillment Center OAK3</t>
  </si>
  <si>
    <t>ONT9</t>
  </si>
  <si>
    <t>2125 W. San Bernandino Ave Redlands, CA 92374-5005</t>
  </si>
  <si>
    <t>Redlands</t>
  </si>
  <si>
    <t>92374</t>
  </si>
  <si>
    <t>Amazon(ONT9)</t>
  </si>
  <si>
    <t>Amazon Fulfillment Center(ONT9)</t>
  </si>
  <si>
    <t>SNA4</t>
  </si>
  <si>
    <t>Amazon.com Services, Inc 2496 W Walnut Ave</t>
  </si>
  <si>
    <t>Rialto</t>
  </si>
  <si>
    <t>92376-3009</t>
  </si>
  <si>
    <t>Amazon SNA4</t>
  </si>
  <si>
    <t>Amazon Fulfillment Center SNA4</t>
  </si>
  <si>
    <t>SJC7</t>
  </si>
  <si>
    <t>188 Mountain House Parkway</t>
  </si>
  <si>
    <t>95377-8906</t>
  </si>
  <si>
    <t>Amazon  SJC7</t>
  </si>
  <si>
    <t>Amazon Fulfillment Center  SJC7</t>
  </si>
  <si>
    <t>LGB8</t>
  </si>
  <si>
    <t>1568 N Linden Ave 92376-8624-Rialto,CA-United States</t>
  </si>
  <si>
    <t>92376-8624</t>
  </si>
  <si>
    <t>Amazon(LGB8)</t>
  </si>
  <si>
    <t>Amazon Fulfillment Center(LGB8)</t>
  </si>
  <si>
    <t>LGB6</t>
  </si>
  <si>
    <t>20901 Krameria Ave</t>
  </si>
  <si>
    <t>Riverside</t>
  </si>
  <si>
    <t>92518-1513</t>
  </si>
  <si>
    <t>Amazon(LGB6)</t>
  </si>
  <si>
    <t>Amazon Fulfillment Center(LGB6)</t>
  </si>
  <si>
    <t>LGB4</t>
  </si>
  <si>
    <t>27517 Pioneer Avenue</t>
  </si>
  <si>
    <t>Amazon(LGB4)</t>
  </si>
  <si>
    <t>Amazon Fulfillment Center(LGB4)</t>
  </si>
  <si>
    <t>PHL1</t>
  </si>
  <si>
    <t>1 Centerpoint Blvd.</t>
  </si>
  <si>
    <t>DE</t>
  </si>
  <si>
    <t>New Castle</t>
  </si>
  <si>
    <t>19720</t>
  </si>
  <si>
    <t>Amazon(PHL1)</t>
  </si>
  <si>
    <t>Amazon Fulfillment Center(PHL1)</t>
  </si>
  <si>
    <t>PHL7</t>
  </si>
  <si>
    <t>Inc.560 Merrimac AveMiddletown</t>
  </si>
  <si>
    <t>Middletown</t>
  </si>
  <si>
    <t>19709-4652</t>
  </si>
  <si>
    <t>Amazon(PHL7)</t>
  </si>
  <si>
    <t>Amazon Fulfillment Center(PHL7)</t>
  </si>
  <si>
    <t>TPA1</t>
  </si>
  <si>
    <t>3350 Laurel Ridge Ave.</t>
  </si>
  <si>
    <t>FL</t>
  </si>
  <si>
    <t>Ruskin</t>
  </si>
  <si>
    <t>33570</t>
  </si>
  <si>
    <t>Amazon(TPA1)</t>
  </si>
  <si>
    <t>Amazon Fulfillment Center(TPA1)</t>
  </si>
  <si>
    <t>TPA2</t>
  </si>
  <si>
    <t>1760 County Line Rd</t>
  </si>
  <si>
    <t>Lakeland</t>
  </si>
  <si>
    <t>33811</t>
  </si>
  <si>
    <t>Amazon(TPA2)</t>
  </si>
  <si>
    <t>Amazon Fulfillment Center(TPA2)</t>
  </si>
  <si>
    <t>JAX3</t>
  </si>
  <si>
    <t>13333 103rd Street</t>
  </si>
  <si>
    <t>Jacksonville</t>
  </si>
  <si>
    <t>32210-8686</t>
  </si>
  <si>
    <t>Amazon(JAX3)</t>
  </si>
  <si>
    <t>Amazon Fulfillment Center(JAX3)</t>
  </si>
  <si>
    <t>IND1</t>
  </si>
  <si>
    <t>4255 Anson Blvd</t>
  </si>
  <si>
    <t>IN</t>
  </si>
  <si>
    <t>Whitestown</t>
  </si>
  <si>
    <t>46075</t>
  </si>
  <si>
    <t>Amazon(IND1)</t>
  </si>
  <si>
    <t>Amazon Fulfillment Center(IND1)</t>
  </si>
  <si>
    <t>IND2</t>
  </si>
  <si>
    <t>715 Airtech Pkwy</t>
  </si>
  <si>
    <t>Plainfield</t>
  </si>
  <si>
    <t>46168</t>
  </si>
  <si>
    <t>Amazon(IND2)</t>
  </si>
  <si>
    <t>Amazon Fulfillment Center(IND2)</t>
  </si>
  <si>
    <t>IND3</t>
  </si>
  <si>
    <t>715 Airtech Pkwy Suite 195</t>
  </si>
  <si>
    <t>Amazon(IND3)</t>
  </si>
  <si>
    <t>Amazon Fulfillment Center(IND3)</t>
  </si>
  <si>
    <t>IND4</t>
  </si>
  <si>
    <t>710 S. Girls School Rd</t>
  </si>
  <si>
    <t>Indianapolis</t>
  </si>
  <si>
    <t>46231</t>
  </si>
  <si>
    <t>Amazon(IND4)</t>
  </si>
  <si>
    <t>Amazon Fulfillment Center(IND4)</t>
  </si>
  <si>
    <t>IND5</t>
  </si>
  <si>
    <t>800 Perry Road</t>
  </si>
  <si>
    <t>Amazon(IND5)</t>
  </si>
  <si>
    <t>Amazon Fulfillment Center(IND5)</t>
  </si>
  <si>
    <t>SDF8</t>
  </si>
  <si>
    <t>900 Patrol Rd</t>
  </si>
  <si>
    <t>Jeffersonville</t>
  </si>
  <si>
    <t>47130</t>
  </si>
  <si>
    <t>Amazon(SDF8)</t>
  </si>
  <si>
    <t>Amazon Fulfillment Center(SDF8)</t>
  </si>
  <si>
    <t>MKC4</t>
  </si>
  <si>
    <t>19645 Waverly Rd</t>
  </si>
  <si>
    <t>KS</t>
  </si>
  <si>
    <t>Edgerton</t>
  </si>
  <si>
    <t>66021-9588</t>
  </si>
  <si>
    <t>Amazon(MKC4)</t>
  </si>
  <si>
    <t>Amazon Fulfillment Center(MKC4)</t>
  </si>
  <si>
    <t>MKC6</t>
  </si>
  <si>
    <t>6925 Riverview Avenue</t>
  </si>
  <si>
    <t>Kansas City</t>
  </si>
  <si>
    <t>66102-3047</t>
  </si>
  <si>
    <t>Amazon(MKC6)</t>
  </si>
  <si>
    <t>Amazon Fulfillment Center(MKC6)</t>
  </si>
  <si>
    <t>LEX2</t>
  </si>
  <si>
    <t>172 Trade St.</t>
  </si>
  <si>
    <t>KY</t>
  </si>
  <si>
    <t>Lexington</t>
  </si>
  <si>
    <t>40511</t>
  </si>
  <si>
    <t>Amazon(LEX2)</t>
  </si>
  <si>
    <t>Amazon Fulfillment Center(LEX2)</t>
  </si>
  <si>
    <t>SDF1</t>
  </si>
  <si>
    <t>1050 South Columbia</t>
  </si>
  <si>
    <t>Campbellsville</t>
  </si>
  <si>
    <t>42718</t>
  </si>
  <si>
    <t>Amazon(SDF1)</t>
  </si>
  <si>
    <t>Amazon Fulfillment Center(SDF1)</t>
  </si>
  <si>
    <t>SDF6</t>
  </si>
  <si>
    <t>271 Omega Pkwy</t>
  </si>
  <si>
    <t>Shepherdsville</t>
  </si>
  <si>
    <t>40165</t>
  </si>
  <si>
    <t>Amazon(SDF6)</t>
  </si>
  <si>
    <t>Amazon Fulfillment Center(SDF6)</t>
  </si>
  <si>
    <t>CVG1</t>
  </si>
  <si>
    <t>1155 Worldwide Blvd.</t>
  </si>
  <si>
    <t>Hebron</t>
  </si>
  <si>
    <t>41048</t>
  </si>
  <si>
    <t>Amazon(CVG1)</t>
  </si>
  <si>
    <t>Amazon Fulfillment Center(CVG1)</t>
  </si>
  <si>
    <t>CVG2</t>
  </si>
  <si>
    <t>1600 Worldwide Blvd</t>
  </si>
  <si>
    <t>Amazon(CVG2)</t>
  </si>
  <si>
    <t>Amazon Fulfillment Center(CVG2)</t>
  </si>
  <si>
    <t>CVG3</t>
  </si>
  <si>
    <t>Suite 100 3680 Langley Dr.</t>
  </si>
  <si>
    <t>41048-9135</t>
  </si>
  <si>
    <t>Amazon(CVG3)</t>
  </si>
  <si>
    <t>Amazon Fulfillment Center(CVG3)</t>
  </si>
  <si>
    <t>CVG5</t>
  </si>
  <si>
    <t>2285 Litton Way</t>
  </si>
  <si>
    <t>41048-8435</t>
  </si>
  <si>
    <t>Amazon(CVG5)</t>
  </si>
  <si>
    <t>Amazon Fulfillment Center(CVG5)</t>
  </si>
  <si>
    <t>SDF9</t>
  </si>
  <si>
    <t>100 W. Thomas P. Echols Lane</t>
  </si>
  <si>
    <t>Amazon(SDF9)</t>
  </si>
  <si>
    <t>Amazon Fulfillment Center(SDF9)</t>
  </si>
  <si>
    <t>EWR4</t>
  </si>
  <si>
    <t>50 New Canton Way</t>
  </si>
  <si>
    <t>NJ</t>
  </si>
  <si>
    <t>Robbinsville</t>
  </si>
  <si>
    <t>08691-2350</t>
  </si>
  <si>
    <t>Amazon(EWR4)</t>
  </si>
  <si>
    <t>Amazon Fulfillment Center(EWR4)</t>
  </si>
  <si>
    <t>EWR5</t>
  </si>
  <si>
    <t>301 Blair Road #100</t>
  </si>
  <si>
    <t>Woodbridge (Avenel)</t>
  </si>
  <si>
    <t>07001-2225</t>
  </si>
  <si>
    <t>Amazon(EWR5)</t>
  </si>
  <si>
    <t>Amazon Fulfillment Center(EWR5)</t>
  </si>
  <si>
    <t>ABE8</t>
  </si>
  <si>
    <t>401 Independence Road Florence, NJ 08518-2200</t>
  </si>
  <si>
    <t>Florence</t>
  </si>
  <si>
    <t>08518</t>
  </si>
  <si>
    <t>Amazon(ABE8)</t>
  </si>
  <si>
    <t>Amazon Fulfillment Center(ABE8)</t>
  </si>
  <si>
    <t>TEB3</t>
  </si>
  <si>
    <t>2651 Oldmans Creek Rd Logan Township, NJ 08085-4503</t>
  </si>
  <si>
    <t>Logan Township</t>
  </si>
  <si>
    <t>08085</t>
  </si>
  <si>
    <t>Amazon (TEB3)</t>
  </si>
  <si>
    <t>Amazon Fulfillment Center(TEB3)</t>
  </si>
  <si>
    <t>TEB6</t>
  </si>
  <si>
    <t>22 Hightstown Cranbury State Road Cranbury, NJ 08512-5007</t>
  </si>
  <si>
    <t>Cranbury</t>
  </si>
  <si>
    <t>08512-5007</t>
  </si>
  <si>
    <t>Amazon(TEB6)</t>
  </si>
  <si>
    <t>Amazon Fulfillment Center(TEB6)</t>
  </si>
  <si>
    <t>RNO4</t>
  </si>
  <si>
    <t>8000 North Virginia Street Reno, NV 89506-7701  US</t>
  </si>
  <si>
    <t>NV</t>
  </si>
  <si>
    <t>Reno</t>
  </si>
  <si>
    <t>89506</t>
  </si>
  <si>
    <t>Amazon(RNO4)</t>
  </si>
  <si>
    <t>Amazon Fulfillment Center (RNO4)</t>
  </si>
  <si>
    <t>BWI2</t>
  </si>
  <si>
    <t>2010 Broening Hwy</t>
  </si>
  <si>
    <t>MD</t>
  </si>
  <si>
    <t>Baltimore</t>
  </si>
  <si>
    <t>21224</t>
  </si>
  <si>
    <t>Amazon(BWI2)</t>
  </si>
  <si>
    <t>Amazon Fulfillment Center (BWI2)</t>
  </si>
  <si>
    <t>CMH2</t>
  </si>
  <si>
    <t>6050 Gateway Court</t>
  </si>
  <si>
    <t>OH</t>
  </si>
  <si>
    <t>Groveport</t>
  </si>
  <si>
    <t>43125</t>
  </si>
  <si>
    <t>Amazon(CMH2)</t>
  </si>
  <si>
    <t>Amazon Fulfillment Center (CMH2)</t>
  </si>
  <si>
    <t>ABE2</t>
  </si>
  <si>
    <t>705 Boulder Drive   Breinigsville, PA 18031-1533</t>
  </si>
  <si>
    <t>PA</t>
  </si>
  <si>
    <t>Breinigsville</t>
  </si>
  <si>
    <t>18031</t>
  </si>
  <si>
    <t>Amazon(ABE2)</t>
  </si>
  <si>
    <t>Amazon Fulfillment Center (ABE2)</t>
  </si>
  <si>
    <t>ABE3</t>
  </si>
  <si>
    <t>650 Boulder Drive Breinigsville, PA 18031-1536</t>
  </si>
  <si>
    <t>Amazon(ABE3)</t>
  </si>
  <si>
    <t>Amazon Fulfillment Center (ABE3)</t>
  </si>
  <si>
    <t>PHL4</t>
  </si>
  <si>
    <t>21 Roadway Drive</t>
  </si>
  <si>
    <t>Carlisle</t>
  </si>
  <si>
    <t>17015</t>
  </si>
  <si>
    <t>Amazon(PHL4)</t>
  </si>
  <si>
    <t>Amazon Fulfillment Center (PHL4)</t>
  </si>
  <si>
    <t>PHL5</t>
  </si>
  <si>
    <t>500 McCarthy Dr.</t>
  </si>
  <si>
    <t>Lewisberry</t>
  </si>
  <si>
    <t>17339</t>
  </si>
  <si>
    <t>Amazon(PHL5)</t>
  </si>
  <si>
    <t>Amazon Fulfillment Center (PHL5)</t>
  </si>
  <si>
    <t>PHL6</t>
  </si>
  <si>
    <t>675 Allen Rd.</t>
  </si>
  <si>
    <t>Amazon(PHL6)</t>
  </si>
  <si>
    <t>Amazon Fulfillment Center (PHL6)</t>
  </si>
  <si>
    <t>AVP1</t>
  </si>
  <si>
    <t>550 Oak Ridge Road</t>
  </si>
  <si>
    <t>Hazleton</t>
  </si>
  <si>
    <t>18202-9361</t>
  </si>
  <si>
    <t>Amazon  AVP1</t>
  </si>
  <si>
    <t>Amazon Fulfillment Center  AVP1</t>
  </si>
  <si>
    <t>MDT1</t>
  </si>
  <si>
    <t>2 Ames Drive Carlisle, PA 17015-7871 US</t>
  </si>
  <si>
    <t>Amazon  MDT1</t>
  </si>
  <si>
    <t>Amazon Fulfillment Center  MDT1</t>
  </si>
  <si>
    <t>CAE1</t>
  </si>
  <si>
    <t>4400 12 Street Extension</t>
  </si>
  <si>
    <t>SC</t>
  </si>
  <si>
    <t>West Columbia</t>
  </si>
  <si>
    <t>29172</t>
  </si>
  <si>
    <t>Amazon(CAE1)</t>
  </si>
  <si>
    <t>Amazon Fulfillment Center (CAE1)</t>
  </si>
  <si>
    <t>GSP1</t>
  </si>
  <si>
    <t>402 John Dodd Rd</t>
  </si>
  <si>
    <t>Spartanburg</t>
  </si>
  <si>
    <t>29303-6312</t>
  </si>
  <si>
    <t>Amazon(GSP1)</t>
  </si>
  <si>
    <t>Amazon Fulfillment Center (GSP1)</t>
  </si>
  <si>
    <t>CHA1</t>
  </si>
  <si>
    <t>7200 Discovery Drive</t>
  </si>
  <si>
    <t>TN</t>
  </si>
  <si>
    <t>Chattanooga</t>
  </si>
  <si>
    <t>37416-1757</t>
  </si>
  <si>
    <t>Amazon(CHA1)</t>
  </si>
  <si>
    <t>Amazon Fulfillment Center (CHA1)</t>
  </si>
  <si>
    <t>CHA2</t>
  </si>
  <si>
    <t>225 Infinity Dr NW</t>
  </si>
  <si>
    <t>Charleston</t>
  </si>
  <si>
    <t>37310</t>
  </si>
  <si>
    <t>Amazon(CHA2)</t>
  </si>
  <si>
    <t>Amazon Fulfillment Center(CHA2)</t>
  </si>
  <si>
    <t>BNA2</t>
  </si>
  <si>
    <t>500 Duke Dr</t>
  </si>
  <si>
    <t>Lebanon</t>
  </si>
  <si>
    <t>37090-8123</t>
  </si>
  <si>
    <t>Amazon(BNA2)</t>
  </si>
  <si>
    <t>Amazon Fulfillment Center(BNA2)</t>
  </si>
  <si>
    <t>BNA3</t>
  </si>
  <si>
    <t>2020 Joe B Jackson Pkwy</t>
  </si>
  <si>
    <t>Murfreesboro</t>
  </si>
  <si>
    <t>37127</t>
  </si>
  <si>
    <t>Amazon(BNA3)</t>
  </si>
  <si>
    <t>Amazon Fulfillment Center(BNA3)</t>
  </si>
  <si>
    <t>DFW6</t>
  </si>
  <si>
    <t>940 W Bethel Road</t>
  </si>
  <si>
    <t>TX</t>
  </si>
  <si>
    <t>Coppell</t>
  </si>
  <si>
    <t>75019</t>
  </si>
  <si>
    <t>Amazon(DFW6)</t>
  </si>
  <si>
    <t>Amazon Fulfillment Center(DFW6)</t>
  </si>
  <si>
    <t>SAT1</t>
  </si>
  <si>
    <t>6000 Enterprise Avenue</t>
  </si>
  <si>
    <t>Schertz</t>
  </si>
  <si>
    <t>78154-1461</t>
  </si>
  <si>
    <t>Amazon(SAT1)</t>
  </si>
  <si>
    <t>Amazon Fulfillment Center(SAT1)</t>
  </si>
  <si>
    <t>DFW7</t>
  </si>
  <si>
    <t>700 Westport Parkway</t>
  </si>
  <si>
    <t>Fort Worth</t>
  </si>
  <si>
    <t>76177</t>
  </si>
  <si>
    <t>Amazon(DFW7)</t>
  </si>
  <si>
    <t>Amazon Fulfillment Center(DFW7)</t>
  </si>
  <si>
    <t>HOU1</t>
  </si>
  <si>
    <t>8120 Humble Westfield Rd</t>
  </si>
  <si>
    <t>Humble</t>
  </si>
  <si>
    <t>77338</t>
  </si>
  <si>
    <t>Amazon(HOU1)</t>
  </si>
  <si>
    <t>Amazon Fulfillment Center(HOU1)</t>
  </si>
  <si>
    <t>FTW1</t>
  </si>
  <si>
    <t>33333 Lyndon B Johnson Freeway</t>
  </si>
  <si>
    <t>Dallas</t>
  </si>
  <si>
    <t>75241</t>
  </si>
  <si>
    <t>Amazon(FTW1)</t>
  </si>
  <si>
    <t>Amazon Fulfillment Center(FTW1)</t>
  </si>
  <si>
    <t>FTW2</t>
  </si>
  <si>
    <t>2701 W Bethel Rd</t>
  </si>
  <si>
    <t>Amazon(FTW2)</t>
  </si>
  <si>
    <t>Amazon Fulfillment Center(FTW2)</t>
  </si>
  <si>
    <t>RIC1</t>
  </si>
  <si>
    <t>5000 Commerce Way</t>
  </si>
  <si>
    <t>VA</t>
  </si>
  <si>
    <t>Petersburg</t>
  </si>
  <si>
    <t>23803</t>
  </si>
  <si>
    <t>Amazon(RIC1)</t>
  </si>
  <si>
    <t>Amazon Fulfillment Center(RIC1)</t>
  </si>
  <si>
    <t>RIC2</t>
  </si>
  <si>
    <t>1901 Meadowville Technology Pkwy</t>
  </si>
  <si>
    <t>Chester</t>
  </si>
  <si>
    <t>23836</t>
  </si>
  <si>
    <t>Amazon(RIC2)</t>
  </si>
  <si>
    <t>Amazon Fulfillment Center(RIC2)</t>
  </si>
  <si>
    <t>RIC3</t>
  </si>
  <si>
    <t>4949 Commerce Rd 23234-2207 - RICHMOND, VA - United States</t>
  </si>
  <si>
    <t>RICHMOND</t>
  </si>
  <si>
    <t>23234-2207</t>
  </si>
  <si>
    <t>AMAZON</t>
  </si>
  <si>
    <t>BFI1</t>
  </si>
  <si>
    <t>1800 140th Avenue E.</t>
  </si>
  <si>
    <t>WA</t>
  </si>
  <si>
    <t>Sumner</t>
  </si>
  <si>
    <t>98390</t>
  </si>
  <si>
    <t>Amazon(BFI1)</t>
  </si>
  <si>
    <t>Amazon Fulfillment Center(BFI1)</t>
  </si>
  <si>
    <t>BFI3</t>
  </si>
  <si>
    <t>2700 Center Drive</t>
  </si>
  <si>
    <t>Dupont</t>
  </si>
  <si>
    <t>98327-9607</t>
  </si>
  <si>
    <t>Amazon(BFI3)</t>
  </si>
  <si>
    <t>Amazon Fulfillment Center(BFI3)</t>
  </si>
  <si>
    <t>BFI4</t>
  </si>
  <si>
    <t>21005 64th Ave S</t>
  </si>
  <si>
    <t>Kent</t>
  </si>
  <si>
    <t>98032</t>
  </si>
  <si>
    <t>Amazon(BFI4)</t>
  </si>
  <si>
    <t>Amazon Fulfillment Center(BFI4)</t>
  </si>
  <si>
    <t>BFI7</t>
  </si>
  <si>
    <t>1901 140th Ave E</t>
  </si>
  <si>
    <t>Amazon(BFI7)</t>
  </si>
  <si>
    <t>Amazon Fulfillment Center(BFI7)</t>
  </si>
  <si>
    <t>MKE1</t>
  </si>
  <si>
    <t>3501 120th Ave</t>
  </si>
  <si>
    <t>WI</t>
  </si>
  <si>
    <t>Kenosha</t>
  </si>
  <si>
    <t>53144</t>
  </si>
  <si>
    <t>Amazon(MKE1)</t>
  </si>
  <si>
    <t>Amazon Fulfillment Center(MKE1)</t>
  </si>
  <si>
    <t>ATL6</t>
  </si>
  <si>
    <t>4200 North Commerce,East Point</t>
  </si>
  <si>
    <t>GA</t>
  </si>
  <si>
    <t>Atlanta</t>
  </si>
  <si>
    <t>30344-5707</t>
  </si>
  <si>
    <t>Amazon(ATL6)</t>
  </si>
  <si>
    <t>Amazon Fulfillment Center(ATL6)</t>
  </si>
  <si>
    <t>MGE3</t>
  </si>
  <si>
    <t>808 Hog Mountain Road</t>
  </si>
  <si>
    <t>Jefferson</t>
  </si>
  <si>
    <t>30549</t>
  </si>
  <si>
    <t>Amazon(MGE3)</t>
  </si>
  <si>
    <t>Amazon Fulfillment Center(MGE3)</t>
  </si>
  <si>
    <t>MDW2</t>
  </si>
  <si>
    <t>250 Emerald Drive</t>
  </si>
  <si>
    <t>IL</t>
  </si>
  <si>
    <t>Joliet</t>
  </si>
  <si>
    <t>60433-3280</t>
  </si>
  <si>
    <t>Amazon(MDW2)</t>
  </si>
  <si>
    <t>Amazon Fulfillment Center(MDW2)</t>
  </si>
  <si>
    <t>MDW6</t>
  </si>
  <si>
    <t>1125 W REMINGTON BLVD ROMEOVILLE</t>
  </si>
  <si>
    <t>ROMEOVILLE</t>
  </si>
  <si>
    <t>60446-6529</t>
  </si>
  <si>
    <t>Amazon Fulfillment Center MDW6</t>
  </si>
  <si>
    <t>MDW8</t>
  </si>
  <si>
    <t>1750 Bridge Drive</t>
  </si>
  <si>
    <t>Waukegan</t>
  </si>
  <si>
    <t>60085</t>
  </si>
  <si>
    <t>Amazon Fulfillment Center MDW8</t>
  </si>
  <si>
    <t>MDW9</t>
  </si>
  <si>
    <t>2865 Duke Parkway</t>
  </si>
  <si>
    <t>Aurora</t>
  </si>
  <si>
    <t>60502</t>
  </si>
  <si>
    <t>Amazon Fulfillment Center MDW9</t>
  </si>
  <si>
    <t>ORD6</t>
  </si>
  <si>
    <t>1250 N Mittel Blvd</t>
  </si>
  <si>
    <t>Wood Dale</t>
  </si>
  <si>
    <t>60191</t>
  </si>
  <si>
    <t>Amazon Fulfillment Center ORD6</t>
  </si>
  <si>
    <t>STL4</t>
  </si>
  <si>
    <t>3050 GATEWAY COMMERCE Edwardsville, IL 62025-2815 CENTER DR S</t>
  </si>
  <si>
    <t>Edwardsville</t>
  </si>
  <si>
    <t>62025</t>
  </si>
  <si>
    <t>Amazon Fulfillment Center STL4</t>
  </si>
  <si>
    <t>BOS7</t>
  </si>
  <si>
    <t>1180 Innovation Way</t>
  </si>
  <si>
    <t>MA</t>
  </si>
  <si>
    <t>Fall River</t>
  </si>
  <si>
    <t>02720</t>
  </si>
  <si>
    <t>Amazon Fulfillment Center BOS7</t>
  </si>
  <si>
    <t>CLT2</t>
  </si>
  <si>
    <t>10240 Old Dowd Rd 28214-8082-Charlotte,NC- United States</t>
  </si>
  <si>
    <t>NC</t>
  </si>
  <si>
    <t>Charlotte</t>
  </si>
  <si>
    <t>28214-8082</t>
  </si>
  <si>
    <t>Amazon Fulfillment Center CLT2</t>
  </si>
  <si>
    <t>MSP1</t>
  </si>
  <si>
    <t>2601 4th Avenue East Shakopee, MN 55379-1726</t>
  </si>
  <si>
    <t>MN</t>
  </si>
  <si>
    <t>Shakopee</t>
  </si>
  <si>
    <t>55379</t>
  </si>
  <si>
    <t>Amazon Fulfillment Center MSP1</t>
  </si>
  <si>
    <t>IVSA</t>
  </si>
  <si>
    <t>4620 Olympic Blvd</t>
  </si>
  <si>
    <t>Erlanger</t>
  </si>
  <si>
    <t>41018</t>
  </si>
  <si>
    <t>Amazon Fulfillment Center IVSA</t>
  </si>
  <si>
    <t>IVSB</t>
  </si>
  <si>
    <t>3521 POINT PLEASANT RD HEBRON, KY 41048</t>
  </si>
  <si>
    <t>HEBRON</t>
  </si>
  <si>
    <t>Amazon Fulfillment Center IVSB</t>
  </si>
  <si>
    <t>DET1</t>
  </si>
  <si>
    <t>39000 Amrhein RD Livonia, MI 48150-1043</t>
  </si>
  <si>
    <t>MI</t>
  </si>
  <si>
    <t>Livonia</t>
  </si>
  <si>
    <t>48150</t>
  </si>
  <si>
    <t>Amazon Fulfillment Center DET1</t>
  </si>
  <si>
    <t>FRA3</t>
  </si>
  <si>
    <t>德国</t>
  </si>
  <si>
    <t>Amazonstr. 1 Bad Hersfeld</t>
  </si>
  <si>
    <t>Obere K¨¹hnbac</t>
  </si>
  <si>
    <t>36251</t>
  </si>
  <si>
    <t>Amazon  (FRA3)</t>
  </si>
  <si>
    <t>Amazon Fulfillment Center FRA3</t>
  </si>
  <si>
    <t>MUC3</t>
  </si>
  <si>
    <t>Amazonstrasse 1</t>
  </si>
  <si>
    <t>Graben</t>
  </si>
  <si>
    <t>86836</t>
  </si>
  <si>
    <t>Amazon (MUC3)</t>
  </si>
  <si>
    <t>Amazon Fulfillment Center MUC3</t>
  </si>
  <si>
    <t>DUS2</t>
  </si>
  <si>
    <t>Rheinberg</t>
  </si>
  <si>
    <t>47495</t>
  </si>
  <si>
    <t>Amazon (DUS2)</t>
  </si>
  <si>
    <t>Amazon Fulfillment Center DUS2</t>
  </si>
  <si>
    <t>BER3</t>
  </si>
  <si>
    <t>Havellandstraße 5</t>
  </si>
  <si>
    <t>Brieselang</t>
  </si>
  <si>
    <t>14656</t>
  </si>
  <si>
    <t>Amazon (BER3)</t>
  </si>
  <si>
    <t>Amazon Fulfillment Center BER3</t>
  </si>
  <si>
    <t>CGN1</t>
  </si>
  <si>
    <t>Kobern-Gondorf</t>
  </si>
  <si>
    <t>56330</t>
  </si>
  <si>
    <t>Amazon  (CGN1）</t>
  </si>
  <si>
    <t>Amazon Fulfillment Center CGN1</t>
  </si>
  <si>
    <t>PL</t>
  </si>
  <si>
    <t>P-WRO2</t>
  </si>
  <si>
    <t>波兰</t>
  </si>
  <si>
    <t>z o.o. ul. Logistyczna 6  Bielany</t>
  </si>
  <si>
    <t>Wroclawskie</t>
  </si>
  <si>
    <t>55-040</t>
  </si>
  <si>
    <t>Amazon (WRO2-PL)</t>
  </si>
  <si>
    <t>Amazon Fulfillment Poland WRO2</t>
  </si>
  <si>
    <t>CZ</t>
  </si>
  <si>
    <t>PRG2</t>
  </si>
  <si>
    <t>捷克</t>
  </si>
  <si>
    <t>K Amazonu 235</t>
  </si>
  <si>
    <t>Dobroviz</t>
  </si>
  <si>
    <t>25261</t>
  </si>
  <si>
    <t>Amazon  （PRG2）</t>
  </si>
  <si>
    <t>Amazon Fulfilment Center PRG2</t>
  </si>
  <si>
    <t>DE-WRO1</t>
  </si>
  <si>
    <t>via: Slam Poland Sp. z o.o. Am Zeugamt 4 Oschatz, Saxony</t>
  </si>
  <si>
    <t>Oschatz</t>
  </si>
  <si>
    <t>Saxony</t>
  </si>
  <si>
    <t>04758</t>
  </si>
  <si>
    <t>Amazon （WRO1 DE）</t>
  </si>
  <si>
    <t>Amazon Fulfilment Center WRO1</t>
  </si>
  <si>
    <t>KTW1</t>
  </si>
  <si>
    <t>Am Zeugamt 6, Oschatz, Saxony 04758</t>
  </si>
  <si>
    <t>Amazon （KTW1）</t>
  </si>
  <si>
    <t>Amm GmbH  Co KG Spedition</t>
  </si>
  <si>
    <t>DTM2</t>
  </si>
  <si>
    <t>Kaltbandstrasse 4</t>
  </si>
  <si>
    <t>North Rhine-Westphalia</t>
  </si>
  <si>
    <t>Dortmund</t>
  </si>
  <si>
    <t>44145</t>
  </si>
  <si>
    <t>Amazon （DTM2）</t>
  </si>
  <si>
    <t>Amazon Fulfillment Center DTM2</t>
  </si>
  <si>
    <t>DTM1</t>
  </si>
  <si>
    <t>Raiffeisenstrasse 7</t>
  </si>
  <si>
    <t>Werne</t>
  </si>
  <si>
    <t>59368</t>
  </si>
  <si>
    <t>Amazon （DTM1）</t>
  </si>
  <si>
    <t>Amazon Logistik Werne GmbH</t>
  </si>
  <si>
    <t>PL-WRO1</t>
  </si>
  <si>
    <t>Poland sp.z o o.,  Ul. Czekoladowa 1</t>
  </si>
  <si>
    <t>Bielany Wroclawskie</t>
  </si>
  <si>
    <t>55040</t>
  </si>
  <si>
    <t>Amazon (WRO1)</t>
  </si>
  <si>
    <t>amazon.com</t>
  </si>
  <si>
    <t>UK</t>
  </si>
  <si>
    <t>EDI4</t>
  </si>
  <si>
    <t>英国</t>
  </si>
  <si>
    <t>Way Dunfermline</t>
  </si>
  <si>
    <t>Fife</t>
  </si>
  <si>
    <t>KY11 8ST</t>
  </si>
  <si>
    <t>Amazon(EDI4)</t>
  </si>
  <si>
    <t>Amazon Fulfillment Center(EDI4)</t>
  </si>
  <si>
    <t>0000 000 0000</t>
  </si>
  <si>
    <t>CWL1</t>
  </si>
  <si>
    <t>FFORDD AMAZON  SWANSEA</t>
  </si>
  <si>
    <t>Wales</t>
  </si>
  <si>
    <t>SWANSEA</t>
  </si>
  <si>
    <t>SA1 8QX</t>
  </si>
  <si>
    <t>Amazon(CWL1)</t>
  </si>
  <si>
    <t>Amazon Fulfillment Center(CWL1)</t>
  </si>
  <si>
    <t>EUK5</t>
  </si>
  <si>
    <t>Phase Two, Kingston Park Flaxley Road</t>
  </si>
  <si>
    <t>Peterborough</t>
  </si>
  <si>
    <t>PE2 9EN</t>
  </si>
  <si>
    <t>Amazon(EUK5)</t>
  </si>
  <si>
    <t>Amazon Fulfillment Center(EUK5)</t>
  </si>
  <si>
    <t>LBA1</t>
  </si>
  <si>
    <t>Unit 1, Balby Carr Bank, Balby</t>
  </si>
  <si>
    <t>Doncaster</t>
  </si>
  <si>
    <t>DN4 5JS</t>
  </si>
  <si>
    <t>Amazon(LBA1)</t>
  </si>
  <si>
    <t>Amazon Fulfillment Center(LBA1)</t>
  </si>
  <si>
    <t>BHX1</t>
  </si>
  <si>
    <t>Towers Business Park  Power Station Road  Rugeley</t>
  </si>
  <si>
    <t>Staffordshire</t>
  </si>
  <si>
    <t>WS15 1LX</t>
  </si>
  <si>
    <t>Amazon(BHX1)</t>
  </si>
  <si>
    <t>Amazon Fulfillment Center(BHX1)</t>
  </si>
  <si>
    <t>LTN4</t>
  </si>
  <si>
    <t>EU SARL, Unit DC1 Prologis Dunstable</t>
  </si>
  <si>
    <t>East England</t>
  </si>
  <si>
    <t>LU5 4FE</t>
  </si>
  <si>
    <t>Amazon(LTN4)</t>
  </si>
  <si>
    <t>Amazon Fulfillment Center(LTN4)</t>
  </si>
  <si>
    <t>MAN1</t>
  </si>
  <si>
    <t>6 Sunbank Lane Airport City Altrincham</t>
  </si>
  <si>
    <t>Manchester</t>
  </si>
  <si>
    <t>M90 5AA</t>
  </si>
  <si>
    <t>Amazon(MAN1)</t>
  </si>
  <si>
    <t>Amazon Fulfillment Center(MAN1)</t>
  </si>
  <si>
    <t>LBA2</t>
  </si>
  <si>
    <t>Unit 1  Iport Avenue Doncaster</t>
  </si>
  <si>
    <t>Yorkshire and the Humber</t>
  </si>
  <si>
    <t>DN11 0BG</t>
  </si>
  <si>
    <t>Amazon(LBA2)</t>
  </si>
  <si>
    <t>Amazon Fulfillment Center(LBA2)</t>
  </si>
  <si>
    <t>MAN2</t>
  </si>
  <si>
    <t>Omega Plot 7c Orion Boulevard</t>
  </si>
  <si>
    <t>Warrington North West England</t>
  </si>
  <si>
    <t>WA5 3XA</t>
  </si>
  <si>
    <t>Amazon(MAN2)</t>
  </si>
  <si>
    <t>Amazon Fulfillment Center(MAN2)</t>
  </si>
  <si>
    <t>JP</t>
  </si>
  <si>
    <t>NRT5</t>
  </si>
  <si>
    <t>日本</t>
  </si>
  <si>
    <t>埼玉県川越市南台1-10-15</t>
  </si>
  <si>
    <t>埼玉県</t>
  </si>
  <si>
    <t>埼玉</t>
  </si>
  <si>
    <t>350-1182</t>
  </si>
  <si>
    <t>Amazon NRT5</t>
  </si>
  <si>
    <t>HND3</t>
  </si>
  <si>
    <t>埼玉県比企郡川島町かわじま2-1-1 2F</t>
  </si>
  <si>
    <t>比企郡</t>
  </si>
  <si>
    <t>350-0195</t>
  </si>
  <si>
    <t>Amazon HND3</t>
  </si>
  <si>
    <t>KIX1</t>
  </si>
  <si>
    <t>大阪府堺市堺区築港八幡町138-7</t>
  </si>
  <si>
    <t>大阪府</t>
  </si>
  <si>
    <t>堺市</t>
  </si>
  <si>
    <t>590-8589</t>
  </si>
  <si>
    <t>Amazon KIX1</t>
  </si>
  <si>
    <t>KIX2</t>
  </si>
  <si>
    <t>大阪府大東市緑が丘2-1-1</t>
  </si>
  <si>
    <t>大東市</t>
  </si>
  <si>
    <t>574-8531</t>
  </si>
  <si>
    <t>Amazon KIX2</t>
  </si>
  <si>
    <t>HSG1</t>
  </si>
  <si>
    <t>佐賀県鳥栖市弥生が丘3-1-3</t>
  </si>
  <si>
    <t>佐賀県</t>
  </si>
  <si>
    <t>鳥栖市</t>
  </si>
  <si>
    <t>841-8505</t>
  </si>
  <si>
    <t>Amazon HSG1</t>
  </si>
  <si>
    <t>FSZ1</t>
  </si>
  <si>
    <t>神奈川県小田原市扇町4-5-1</t>
  </si>
  <si>
    <t>神奈川県</t>
  </si>
  <si>
    <t>小田原市</t>
  </si>
  <si>
    <t>250-8560</t>
  </si>
  <si>
    <t>Amazon FSZ1</t>
  </si>
  <si>
    <t>NRT1</t>
  </si>
  <si>
    <t>千葉県市川市塩浜2-13-1</t>
  </si>
  <si>
    <t>千葉県</t>
  </si>
  <si>
    <t>市川市</t>
  </si>
  <si>
    <t>272-0193</t>
  </si>
  <si>
    <t>Amazon NRT1</t>
  </si>
  <si>
    <t>NRT2</t>
  </si>
  <si>
    <t>千葉県八千代市上高野2036</t>
  </si>
  <si>
    <t>八千代市</t>
  </si>
  <si>
    <t>276-8525</t>
  </si>
  <si>
    <t>Amazon NRT2</t>
  </si>
  <si>
    <t>KIX4</t>
  </si>
  <si>
    <t>大阪府藤井寺市津堂4-435</t>
  </si>
  <si>
    <t>藤井寺市</t>
  </si>
  <si>
    <t>583-8533</t>
  </si>
  <si>
    <t>Amazon KIX4</t>
  </si>
  <si>
    <t>ES</t>
  </si>
  <si>
    <t>BCN1</t>
  </si>
  <si>
    <t>西班牙</t>
  </si>
  <si>
    <t>Av. de les Garrigues num. 6-8 El Prat de Llobregat El Prat de Llobregat</t>
  </si>
  <si>
    <t>Barcelona</t>
  </si>
  <si>
    <t>08820</t>
  </si>
  <si>
    <t>Amazon (BCN1)</t>
  </si>
  <si>
    <t>Amazon Fulfillment Center BCN1</t>
  </si>
  <si>
    <t>IT</t>
  </si>
  <si>
    <t>MXP5</t>
  </si>
  <si>
    <t>意大利</t>
  </si>
  <si>
    <t>Strada Dogana Po, 2U</t>
  </si>
  <si>
    <t>Province of Piacenza</t>
  </si>
  <si>
    <t>Castel San Giovanni</t>
  </si>
  <si>
    <t>29015</t>
  </si>
  <si>
    <t>Amazon (MXP5)</t>
  </si>
  <si>
    <t>Amazon Fulfillment Center MXP5</t>
  </si>
  <si>
    <t>FCO1</t>
  </si>
  <si>
    <t>Via della Meccanica snc</t>
  </si>
  <si>
    <t>Rieti</t>
  </si>
  <si>
    <t>Passo Corese RI</t>
  </si>
  <si>
    <t>02032</t>
  </si>
  <si>
    <t>Amazon (FCO1)</t>
  </si>
  <si>
    <t>Amazon Fulfillment Center FCO1</t>
  </si>
  <si>
    <t>FR</t>
  </si>
  <si>
    <t>ORY1</t>
  </si>
  <si>
    <t>法国</t>
  </si>
  <si>
    <t>Pole 45 1401 rue du Champ Rouge SARAN CEDEX</t>
  </si>
  <si>
    <t>Saran</t>
  </si>
  <si>
    <t>45772</t>
  </si>
  <si>
    <t>Amazon (ORY1)</t>
  </si>
  <si>
    <t>Amazon Fulfillment Center ORY1</t>
  </si>
  <si>
    <t>MRS1</t>
  </si>
  <si>
    <t>ZAC les Portes de Provence,CEDEX</t>
  </si>
  <si>
    <t>Montelimar</t>
  </si>
  <si>
    <t>26132</t>
  </si>
  <si>
    <t>Amazon (MRS1)</t>
  </si>
  <si>
    <t>Amazon Fulfillment Center MRS1</t>
  </si>
  <si>
    <t>LYS1</t>
  </si>
  <si>
    <t>Distripôle Châlons ZAC Val de Bourgogne,CEDEX</t>
  </si>
  <si>
    <t>Severy</t>
  </si>
  <si>
    <t>71311</t>
  </si>
  <si>
    <t>Amazon (LYS1)</t>
  </si>
  <si>
    <t>Amazon Fulfillment Center LYS1</t>
  </si>
  <si>
    <t>LIL1</t>
  </si>
  <si>
    <t>1, Rue Amazon Lauwin Planque</t>
  </si>
  <si>
    <t>CEDEX</t>
  </si>
  <si>
    <t>59353</t>
  </si>
  <si>
    <t>Amazon(LIL1)</t>
  </si>
  <si>
    <t>Amazon Fulfillment Center LIL1</t>
  </si>
  <si>
    <t>XFRG</t>
  </si>
  <si>
    <t>XPO Artenay NS 3PL ZAC du Moulin Artenay</t>
  </si>
  <si>
    <t>Moulin</t>
  </si>
  <si>
    <t>45410</t>
  </si>
  <si>
    <t>Amazon(XFRG)</t>
  </si>
  <si>
    <t>Amazon Fulfillment Center XFRG</t>
  </si>
  <si>
    <t>MDT2</t>
  </si>
  <si>
    <t>600 Principio Parkway West</t>
  </si>
  <si>
    <t>North East</t>
  </si>
  <si>
    <t>21901</t>
  </si>
  <si>
    <t>Amazon Fulfillment Center MDT2</t>
  </si>
  <si>
    <t>LCY2</t>
  </si>
  <si>
    <t>Depot Unit 2, London Distribution Park</t>
  </si>
  <si>
    <t>Tilbury</t>
  </si>
  <si>
    <t>RM18 7AN</t>
  </si>
  <si>
    <t>Amazon(LCY2)</t>
  </si>
  <si>
    <t>Amazon Fulfillment Center(LCY2)</t>
  </si>
  <si>
    <t>BVA1</t>
  </si>
  <si>
    <t>Avenue du Superbe Orenoque AMIENS CEDEX Hauts-de-France</t>
  </si>
  <si>
    <t>AMIENS</t>
  </si>
  <si>
    <t>80337</t>
  </si>
  <si>
    <t>Amazon(BVA1)</t>
  </si>
  <si>
    <t>Amazon Fulfillment Center BVA1</t>
  </si>
  <si>
    <t>MXP3</t>
  </si>
  <si>
    <t>Via Rita Levi Montalcini, 2 Vercelli</t>
  </si>
  <si>
    <t>Piedmont</t>
  </si>
  <si>
    <t>13100</t>
  </si>
  <si>
    <t>Amazon (MXP3)</t>
  </si>
  <si>
    <t>Amazon Fulfillment Center MXP3</t>
  </si>
  <si>
    <t>ONT5</t>
  </si>
  <si>
    <t>2020 E. Central Ave.  Southgate Building 4</t>
  </si>
  <si>
    <t>92408-2606</t>
  </si>
  <si>
    <t>Amazon Fulfillment Center ONT5</t>
  </si>
  <si>
    <t>SNA6</t>
  </si>
  <si>
    <t>5250 Goodman Road</t>
  </si>
  <si>
    <t>Eastvale</t>
  </si>
  <si>
    <t>91752</t>
  </si>
  <si>
    <t>Amazon Fulfillment Center SNA6</t>
  </si>
  <si>
    <t>LAS6</t>
  </si>
  <si>
    <t>4550 Nexus WayLas Vegas, NV 89115-1826</t>
  </si>
  <si>
    <t>LasVegas</t>
  </si>
  <si>
    <t>89115</t>
  </si>
  <si>
    <t>Amazon Fulfillment Center LAS6</t>
  </si>
  <si>
    <t>DEN2</t>
  </si>
  <si>
    <t>22205 east 19th ave aurora CO 80019</t>
  </si>
  <si>
    <t>CO</t>
  </si>
  <si>
    <t>80019</t>
  </si>
  <si>
    <t>Amazon Fulfillment Center DEN2</t>
  </si>
  <si>
    <t>MCI5</t>
  </si>
  <si>
    <t>16851 W 113th St</t>
  </si>
  <si>
    <t>Lenexa</t>
  </si>
  <si>
    <t>66219</t>
  </si>
  <si>
    <t>Amazon Fulfillment Center MCI5</t>
  </si>
  <si>
    <t>MKE5</t>
  </si>
  <si>
    <t>11211 Burlington Road</t>
  </si>
  <si>
    <t>Amazon Fulfillment Center MKE5</t>
  </si>
  <si>
    <t>CMH1</t>
  </si>
  <si>
    <t>11999 National Road SW Etna</t>
  </si>
  <si>
    <t>SW Etna</t>
  </si>
  <si>
    <t>43062-7793</t>
  </si>
  <si>
    <t>Amazon Fulfillment Center CMH1</t>
  </si>
  <si>
    <t>ABE4</t>
  </si>
  <si>
    <t>1610 Van Buren Road Easton, PA 18045-7807</t>
  </si>
  <si>
    <t>Easton</t>
  </si>
  <si>
    <t>18045-7807</t>
  </si>
  <si>
    <t>Amazon Fulfillment Center ABE4</t>
  </si>
  <si>
    <t>BHX4</t>
  </si>
  <si>
    <t>Plot 1, Lyons Park, Sayer Dr</t>
  </si>
  <si>
    <t>West Midlands</t>
  </si>
  <si>
    <t>Coventry</t>
  </si>
  <si>
    <t>CV5 9PF</t>
  </si>
  <si>
    <t>Amazon(BHX4)</t>
  </si>
  <si>
    <t>Amazon Fulfillment Center(BHX4)</t>
  </si>
  <si>
    <t>MAN3</t>
  </si>
  <si>
    <t>360 Logistics North, Over Hulton</t>
  </si>
  <si>
    <t>North West</t>
  </si>
  <si>
    <t>BOLTON</t>
  </si>
  <si>
    <t>BL5 1EE</t>
  </si>
  <si>
    <t>Amazon(MAN3)</t>
  </si>
  <si>
    <t>Amazon Fulfillment Center(MAN3)</t>
  </si>
  <si>
    <t>TPF3</t>
  </si>
  <si>
    <t>Lawn Town 1-52-2,Takatsuki City, Osaka prefecture 569-0823,JP (TPF 3)</t>
  </si>
  <si>
    <t>Takatsuki City</t>
  </si>
  <si>
    <t>569-0823</t>
  </si>
  <si>
    <t>Amazon TPF3</t>
  </si>
  <si>
    <t>HOU3</t>
  </si>
  <si>
    <t>31555 Highway 90 E Brookshire TX 77423-2769</t>
  </si>
  <si>
    <t>Brookshire</t>
  </si>
  <si>
    <t>77423-2769</t>
  </si>
  <si>
    <t>Amazon Fulfillment Center HOU3</t>
  </si>
  <si>
    <t>IVSF</t>
  </si>
  <si>
    <t>2821 MARION DR STE 109</t>
  </si>
  <si>
    <t>LAS VEGAS</t>
  </si>
  <si>
    <t>89115-3477</t>
  </si>
  <si>
    <t>Amazon Fulfillment Center IVSF</t>
  </si>
  <si>
    <t>BWI4</t>
  </si>
  <si>
    <t>165 Business Blvd Clear Brook, VA 22624-1568 US BWI4</t>
  </si>
  <si>
    <t>Clear Brook</t>
  </si>
  <si>
    <t>22624-1568</t>
  </si>
  <si>
    <t>Amazon Fulfillment Center BWI4</t>
  </si>
  <si>
    <t>SMF3</t>
  </si>
  <si>
    <t>3923 S B ST</t>
  </si>
  <si>
    <t>Stockton</t>
  </si>
  <si>
    <t>95206-8202</t>
  </si>
  <si>
    <t>Amazon Fulfillment Center SMF3</t>
  </si>
  <si>
    <t>EDEA</t>
  </si>
  <si>
    <t>Warmbreitbandstr. 3</t>
  </si>
  <si>
    <t>Amazon (EDEA)</t>
  </si>
  <si>
    <t>Amazon Fulfillment Center EDEA</t>
  </si>
  <si>
    <t>IVSE</t>
  </si>
  <si>
    <t>2951 MARION DR UNIT 101 LAS VEGAS, NV 89115-3467</t>
  </si>
  <si>
    <t>89115-3467</t>
  </si>
  <si>
    <t>Amazon Fulfillment Center IVSE</t>
  </si>
  <si>
    <t>ITX2</t>
  </si>
  <si>
    <t>6911 FAIRBANKS N HOUSTON RD SUITE 160 Houston, TX 77040-1437</t>
  </si>
  <si>
    <t>Houston</t>
  </si>
  <si>
    <t>77040-1437</t>
  </si>
  <si>
    <t>Amazon Fulfillment Center ITX2</t>
  </si>
  <si>
    <t>MEM1</t>
  </si>
  <si>
    <t>3292 E Holmes Rd Memphis,TN 38118-8102 US</t>
  </si>
  <si>
    <t>Memphis</t>
  </si>
  <si>
    <t>38118</t>
  </si>
  <si>
    <t>Amazon Fulfillment Center MEM1</t>
  </si>
  <si>
    <t>CLT3</t>
  </si>
  <si>
    <t>6500 Davidson Hwy Concord, NC 28027-7995 US</t>
  </si>
  <si>
    <t>Concord</t>
  </si>
  <si>
    <t>28027-7995</t>
  </si>
  <si>
    <t>Amazon Fulfillment Center CLT3</t>
  </si>
  <si>
    <t>KIX3</t>
  </si>
  <si>
    <t>松下町2-1 茨木市, 大阪府 567-8507</t>
  </si>
  <si>
    <t>茨木市</t>
  </si>
  <si>
    <t>5678507</t>
  </si>
  <si>
    <t>Amazon.co.jp</t>
  </si>
  <si>
    <t>Amazon KIX3</t>
  </si>
  <si>
    <t>HND9</t>
  </si>
  <si>
    <t>高津区北見方3-14-1 川崎市, 神奈川県 213-8517 JP (HND9)</t>
  </si>
  <si>
    <t>川崎市</t>
  </si>
  <si>
    <t>2138517</t>
  </si>
  <si>
    <t>Amazon HND9</t>
  </si>
  <si>
    <t>TPF6</t>
  </si>
  <si>
    <t>松崎台2-4-1印西市, 千葉県 270-1389</t>
  </si>
  <si>
    <t>印西市</t>
  </si>
  <si>
    <t>270-1389</t>
  </si>
  <si>
    <t>Amazon TPF6</t>
  </si>
  <si>
    <t>MAD6</t>
  </si>
  <si>
    <t>Avenida de la Logistica poligono industrial veredilla III illescas Toledo, Castile-La</t>
  </si>
  <si>
    <t>Mancha</t>
  </si>
  <si>
    <t>Toledo</t>
  </si>
  <si>
    <t>45200</t>
  </si>
  <si>
    <t>Amazon (MAD6)</t>
  </si>
  <si>
    <t>Amazon Fulfillment Center MAD6</t>
  </si>
  <si>
    <t>DET2</t>
  </si>
  <si>
    <t>50500 Mound Rd Shelby Township, MI 48317-1318</t>
  </si>
  <si>
    <t>Township</t>
  </si>
  <si>
    <t>48317</t>
  </si>
  <si>
    <t>Amazon Fulfillment Center DET2</t>
  </si>
  <si>
    <t>BHX3</t>
  </si>
  <si>
    <t>4 Royal Oak Way North Daventry, Northamptonshire</t>
  </si>
  <si>
    <t>Northamptonshire</t>
  </si>
  <si>
    <t>Daventry</t>
  </si>
  <si>
    <t>NN11 8QL</t>
  </si>
  <si>
    <t>Amazon(BHX3)</t>
  </si>
  <si>
    <t>Amazon Fulfillment Center(BHX3)</t>
  </si>
  <si>
    <t>LAX9</t>
  </si>
  <si>
    <t>11263  Oleander  Ave  FONTANA  CA</t>
  </si>
  <si>
    <t>FONTANA</t>
  </si>
  <si>
    <t>92337</t>
  </si>
  <si>
    <t>Amazon Fulfillment Center LAX9</t>
  </si>
  <si>
    <t>BRS1</t>
  </si>
  <si>
    <t>Goldcrest Way Bristol, South West</t>
  </si>
  <si>
    <t>Bristol</t>
  </si>
  <si>
    <t>BS35 4DJ</t>
  </si>
  <si>
    <t>Amazon(BRS1)</t>
  </si>
  <si>
    <t>Amazon Fulfillment Center(BRS1)</t>
  </si>
  <si>
    <t>CMH3</t>
  </si>
  <si>
    <t>700 GATEWAY BLVD Monroe, OH 45050-1848</t>
  </si>
  <si>
    <t>Monroe</t>
  </si>
  <si>
    <t>45050</t>
  </si>
  <si>
    <t>Amazon Fulfillment Center CMH3</t>
  </si>
  <si>
    <t>TRN1</t>
  </si>
  <si>
    <t>Strada Provinciale per Rondissone 90,Torrazza</t>
  </si>
  <si>
    <t>Piemonte</t>
  </si>
  <si>
    <t>10037</t>
  </si>
  <si>
    <t>Amazon (TRN1)</t>
  </si>
  <si>
    <t>Amazon Fulfillment Center TRN1</t>
  </si>
  <si>
    <t>EMA1</t>
  </si>
  <si>
    <t>Unit 1, Wilders Way</t>
  </si>
  <si>
    <t>England</t>
  </si>
  <si>
    <t>Derby</t>
  </si>
  <si>
    <t>DE74 2BB</t>
  </si>
  <si>
    <t>Amazon(EMA1)</t>
  </si>
  <si>
    <t>Amazon Fulfillment Center(EMA1)</t>
  </si>
  <si>
    <t>ORY4</t>
  </si>
  <si>
    <t>Avenue du Centre d’Essais en Vol</t>
  </si>
  <si>
    <t>Brétigny sur Orge</t>
  </si>
  <si>
    <t>91225</t>
  </si>
  <si>
    <t>Amazon (ORY4)</t>
  </si>
  <si>
    <t>Amazon Fulfillment Center ORY4</t>
  </si>
  <si>
    <t>SAV3</t>
  </si>
  <si>
    <t>7001 Skipper Rd Macon, GA 31216-6427</t>
  </si>
  <si>
    <t>Macon</t>
  </si>
  <si>
    <t>31216</t>
  </si>
  <si>
    <t>Amazon Fulfillment Center SAV3</t>
  </si>
  <si>
    <t>IND9</t>
  </si>
  <si>
    <t>1151 S GRAHAM RD GREENWOOD, IN 46143-7830</t>
  </si>
  <si>
    <t>GREENWOOD</t>
  </si>
  <si>
    <t>46143</t>
  </si>
  <si>
    <t>Amazon Fulfillment Center IND9</t>
  </si>
  <si>
    <t>VINE</t>
  </si>
  <si>
    <t>500 Duke Dr Lebanon, TN 37090-8123</t>
  </si>
  <si>
    <t>37090</t>
  </si>
  <si>
    <t>Amazon Fulfillment Center VINE</t>
  </si>
  <si>
    <t>MAN4</t>
  </si>
  <si>
    <t>29 Gander Lane</t>
  </si>
  <si>
    <t>CHESTERFIELD</t>
  </si>
  <si>
    <t>S43 4PZ</t>
  </si>
  <si>
    <t>Amazon(MAN4)</t>
  </si>
  <si>
    <t>Amazon Fulfillment Center(MAN4)</t>
  </si>
  <si>
    <t>IVSC</t>
  </si>
  <si>
    <t>1225 Forest Parkway West Deptford, NJ 08066-1743</t>
  </si>
  <si>
    <t>West Deptford</t>
  </si>
  <si>
    <t>08066</t>
  </si>
  <si>
    <t>Amazon Fulfillment Center IVSC</t>
  </si>
  <si>
    <t>PDX7</t>
  </si>
  <si>
    <t>4775 Depot Ct SE Salem, OR 97317-8983</t>
  </si>
  <si>
    <t>OR</t>
  </si>
  <si>
    <t>Salem</t>
  </si>
  <si>
    <t>97317</t>
  </si>
  <si>
    <t>Amazon Fulfillment Center PDX7</t>
  </si>
  <si>
    <t>XBH1</t>
  </si>
  <si>
    <t>XPO Logistics, Unit A Daventry Distribution Centre, Royal Oak Way North.Daventry, Leicestershir</t>
  </si>
  <si>
    <t>NN11 8LR</t>
  </si>
  <si>
    <t>Amazon(XBH1)</t>
  </si>
  <si>
    <t>Amazon Fulfillment Center(XBH1)</t>
  </si>
  <si>
    <t>ACY2</t>
  </si>
  <si>
    <t>1101 E PEARL ST</t>
  </si>
  <si>
    <t>BURLINGTON</t>
  </si>
  <si>
    <t>08016-1934</t>
  </si>
  <si>
    <t>Amazon Fulfillment Center ACY2</t>
  </si>
  <si>
    <t>XMP2</t>
  </si>
  <si>
    <t>Via Aldo Moro 4</t>
  </si>
  <si>
    <t>Carpiano</t>
  </si>
  <si>
    <t>Francolino di</t>
  </si>
  <si>
    <t>20080</t>
  </si>
  <si>
    <t>Amazon (XMP2)</t>
  </si>
  <si>
    <t>Amazon Fulfillment Center XMP2</t>
  </si>
  <si>
    <t>KIX5</t>
  </si>
  <si>
    <t>"松井宮田1 京田辺市, 京都府 610-0397</t>
  </si>
  <si>
    <t>京都府</t>
  </si>
  <si>
    <t>京田辺市</t>
  </si>
  <si>
    <t>610-0397</t>
  </si>
  <si>
    <t>Amazon.co</t>
  </si>
  <si>
    <t>Amazon KIX5</t>
  </si>
  <si>
    <t>FTW3</t>
  </si>
  <si>
    <t>15201 Heritage Pkwy Fort Worth, TX 76177-2517</t>
  </si>
  <si>
    <t>Amazon Fulfillment Center FTW3</t>
  </si>
  <si>
    <t>MME1</t>
  </si>
  <si>
    <t>Building One  Symmetry Park</t>
  </si>
  <si>
    <t>Darlington</t>
  </si>
  <si>
    <t>DL1 4BF</t>
  </si>
  <si>
    <t>Amazon(MME1)</t>
  </si>
  <si>
    <t>Amazon Fulfillment Center(MME1)</t>
  </si>
  <si>
    <t>XMP1</t>
  </si>
  <si>
    <t>Via Maestri Del Lavoro,990</t>
  </si>
  <si>
    <t>Rovigo</t>
  </si>
  <si>
    <t>Arqua Polesine</t>
  </si>
  <si>
    <t>45031</t>
  </si>
  <si>
    <t>Amazon (XMP1)</t>
  </si>
  <si>
    <t>Amazon Fulfillment Center XMP1</t>
  </si>
  <si>
    <t>SCK1</t>
  </si>
  <si>
    <t>4532 NEWCASTLE RD</t>
  </si>
  <si>
    <t>STOCKTON</t>
  </si>
  <si>
    <t>95215</t>
  </si>
  <si>
    <t>Amazon Fulfillment Center SCK1</t>
  </si>
  <si>
    <t>LCJ2</t>
  </si>
  <si>
    <t>Amazon  (LCJ2)</t>
  </si>
  <si>
    <t>Amazon Fulfilment Center LCJ2</t>
  </si>
  <si>
    <t>LAS1</t>
  </si>
  <si>
    <t>12300 Bermuda Road</t>
  </si>
  <si>
    <t>HENDERSON</t>
  </si>
  <si>
    <t>89044</t>
  </si>
  <si>
    <t>Amazon Fulfillment Center LAS1</t>
  </si>
  <si>
    <t>PAD1</t>
  </si>
  <si>
    <t>Aurea 10</t>
  </si>
  <si>
    <t>Nordrhein-Westfalen</t>
  </si>
  <si>
    <t>Oelde</t>
  </si>
  <si>
    <t>33378</t>
  </si>
  <si>
    <t>Amazon (PAD1)</t>
  </si>
  <si>
    <t>Amazon Fulfillment Center PAD1</t>
  </si>
  <si>
    <t>JFK8</t>
  </si>
  <si>
    <t>546 Gulf Avenue</t>
  </si>
  <si>
    <t>NY</t>
  </si>
  <si>
    <t>Staten Island</t>
  </si>
  <si>
    <t>10314</t>
  </si>
  <si>
    <t>Amazon Fulfillment Center JFK8</t>
  </si>
  <si>
    <t>DTW1</t>
  </si>
  <si>
    <t>32801 Ecorse Road Romulus, MI 48174</t>
  </si>
  <si>
    <t>Romulus</t>
  </si>
  <si>
    <t>48174</t>
  </si>
  <si>
    <t>Amazon Fulfillment Center DTW1</t>
  </si>
  <si>
    <t>CLE3</t>
  </si>
  <si>
    <t>1155 Babbitt Road</t>
  </si>
  <si>
    <t>Euclid</t>
  </si>
  <si>
    <t>44132</t>
  </si>
  <si>
    <t>Amazon Fulfillment Center CLE3</t>
  </si>
  <si>
    <t>KRB2</t>
  </si>
  <si>
    <t>7000 HARDWARE DR</t>
  </si>
  <si>
    <t>PRINCE GEORGE</t>
  </si>
  <si>
    <t>23875</t>
  </si>
  <si>
    <t>Amazon Fulfillment Center KRB2</t>
  </si>
  <si>
    <t>GSO1</t>
  </si>
  <si>
    <t>1656 OLD GREENSBORO RD</t>
  </si>
  <si>
    <t>KERNERSVILLE</t>
  </si>
  <si>
    <t>27284-6855</t>
  </si>
  <si>
    <t>Amazon Fulfillment Center GSO1</t>
  </si>
  <si>
    <t>MME2</t>
  </si>
  <si>
    <t>PEAT EDGE FARM TURSDALE ROAD</t>
  </si>
  <si>
    <t>North East England</t>
  </si>
  <si>
    <t>BOWBURN</t>
  </si>
  <si>
    <t>DH6 5NP</t>
  </si>
  <si>
    <t>Amazon(MME2)</t>
  </si>
  <si>
    <t>Amazon Fulfillment Center(MME2)</t>
  </si>
  <si>
    <t>SVQ1</t>
  </si>
  <si>
    <t>Bulevar Agustín Nuñez Llanos s/n,Poligono La Isla, Dos Hermanas Seville</t>
  </si>
  <si>
    <t>Andalusia</t>
  </si>
  <si>
    <t>41703</t>
  </si>
  <si>
    <t>Amazon (SVQ1)</t>
  </si>
  <si>
    <t>Amazon Fulfillment Center SVQ1</t>
  </si>
  <si>
    <t>PIT2</t>
  </si>
  <si>
    <t>1200 Westport Rd</t>
  </si>
  <si>
    <t>IMPERIAL</t>
  </si>
  <si>
    <t>15126-1002</t>
  </si>
  <si>
    <t>Amazon Fulfillment Center PIT2</t>
  </si>
  <si>
    <t>JVL1</t>
  </si>
  <si>
    <t>1255 Gateway Blvd</t>
  </si>
  <si>
    <t>BELOIT</t>
  </si>
  <si>
    <t>53511-9709</t>
  </si>
  <si>
    <t>Amazon Fulfillment Center JVL1</t>
  </si>
  <si>
    <t>BLQ1</t>
  </si>
  <si>
    <t>Via Ipazia D'Alessandria 946</t>
  </si>
  <si>
    <t>San Bellino</t>
  </si>
  <si>
    <t>45020</t>
  </si>
  <si>
    <t>Amazon(BLQ1)</t>
  </si>
  <si>
    <t>Amazon Fulfillment Center BLQ1</t>
  </si>
  <si>
    <t>MAD9</t>
  </si>
  <si>
    <t>Carr. Nacional II, 7</t>
  </si>
  <si>
    <t>Madrid</t>
  </si>
  <si>
    <t>Alcala de Henares</t>
  </si>
  <si>
    <t>28804</t>
  </si>
  <si>
    <t>Amazon (MAD9)</t>
  </si>
  <si>
    <t>Amazon Fulfillmeant Center MAD9</t>
  </si>
  <si>
    <t>PL-WRO5</t>
  </si>
  <si>
    <t>Dolnoslaskie voivodeship 59-225</t>
  </si>
  <si>
    <t>Chojnow</t>
  </si>
  <si>
    <t>Okmiany</t>
  </si>
  <si>
    <t>59-225</t>
  </si>
  <si>
    <t>Amazon (WRO5 PL)</t>
  </si>
  <si>
    <t>Amazon Fulfillment Poland WRO5</t>
  </si>
  <si>
    <t>MCO2</t>
  </si>
  <si>
    <t>2600 N Normandy Blvd</t>
  </si>
  <si>
    <t>Deltona</t>
  </si>
  <si>
    <t>32725-2610</t>
  </si>
  <si>
    <t>Amazon Fulfillment Center MCO2</t>
  </si>
  <si>
    <t>FCO2</t>
  </si>
  <si>
    <t>Via Palianese Colleferro</t>
  </si>
  <si>
    <t>Rome</t>
  </si>
  <si>
    <t>00034</t>
  </si>
  <si>
    <t>Amazon (FCO2)</t>
  </si>
  <si>
    <t>Amazon Fulfillment Center FCO2</t>
  </si>
  <si>
    <t>LEJ3</t>
  </si>
  <si>
    <t>Bielefelder Str. 9 Sulzetal, Saxony-Anhalt</t>
  </si>
  <si>
    <t>Sulzetal</t>
  </si>
  <si>
    <t>39171</t>
  </si>
  <si>
    <t>Amazon (LEJ3)</t>
  </si>
  <si>
    <t>Amazon Fulfillment Center LEJ3</t>
  </si>
  <si>
    <t>ALB1</t>
  </si>
  <si>
    <t>1835 US Route 9</t>
  </si>
  <si>
    <t>Castleton</t>
  </si>
  <si>
    <t>12033-9634</t>
  </si>
  <si>
    <t>Amazon Fulfillment Center ALB1</t>
  </si>
  <si>
    <t>SLC2</t>
  </si>
  <si>
    <t>7148 W. Old Bingham Hwy</t>
  </si>
  <si>
    <t>UT</t>
  </si>
  <si>
    <t>West Jordan</t>
  </si>
  <si>
    <t>84081</t>
  </si>
  <si>
    <t>Amazon Fulfillment Center SLC2</t>
  </si>
  <si>
    <t>TPA3</t>
  </si>
  <si>
    <t>676 C Fred Jones Blvd</t>
  </si>
  <si>
    <t>Auburndale</t>
  </si>
  <si>
    <t>33823-9429</t>
  </si>
  <si>
    <t>Amazon Fulfillment Center TPA3</t>
  </si>
  <si>
    <t>XBH2</t>
  </si>
  <si>
    <t>Central Park，RUGBY, Warwickshire</t>
  </si>
  <si>
    <t>Warwickshire</t>
  </si>
  <si>
    <t>RUGBY</t>
  </si>
  <si>
    <t>CV23 0WB</t>
  </si>
  <si>
    <t>Amazon(XBH2)</t>
  </si>
  <si>
    <t>Amazon Fulfillment Center(XBH2)</t>
  </si>
  <si>
    <t>LBA4</t>
  </si>
  <si>
    <t>Unit IP9 Toronto Way</t>
  </si>
  <si>
    <t>New Rossington</t>
  </si>
  <si>
    <t>DONCASTER</t>
  </si>
  <si>
    <t>DN11 0GU</t>
  </si>
  <si>
    <t>Amazon(LBA4)</t>
  </si>
  <si>
    <t>Amazon Fulfillment Center(LBA4)</t>
  </si>
  <si>
    <t>EMA2</t>
  </si>
  <si>
    <t>SUMMIT PARKSHERWOOD WAY SOUTH SUTTON IN ASHFIELD</t>
  </si>
  <si>
    <t>Mansfield</t>
  </si>
  <si>
    <t>NG17 5NB</t>
  </si>
  <si>
    <t>Amazon(EMA2)</t>
  </si>
  <si>
    <t>Amazon Fulfillment Center(EMA2)</t>
  </si>
  <si>
    <t>XWR1</t>
  </si>
  <si>
    <t>Amazon (XWR1)</t>
  </si>
  <si>
    <t>Amazon Fulfilment Center XWR1</t>
  </si>
  <si>
    <t>MQJ1</t>
  </si>
  <si>
    <t>4412 W 300 N</t>
  </si>
  <si>
    <t>GREENFIELD</t>
  </si>
  <si>
    <t>46140-7099</t>
  </si>
  <si>
    <t>Amazon Fulfillment Center MQJ1</t>
  </si>
  <si>
    <t>XFR1</t>
  </si>
  <si>
    <t>Zum Haarstrauch 9-15</t>
  </si>
  <si>
    <t>Hesse</t>
  </si>
  <si>
    <t>Hammersbach</t>
  </si>
  <si>
    <t>63546</t>
  </si>
  <si>
    <t>Amazon (XFR1)</t>
  </si>
  <si>
    <t>Amazon Fulfillment Center XFR1</t>
  </si>
  <si>
    <t>XDU1</t>
  </si>
  <si>
    <t>Bornwiese 1</t>
  </si>
  <si>
    <t>Malsfeld</t>
  </si>
  <si>
    <t>34323</t>
  </si>
  <si>
    <t>Amazon (XDU1）</t>
  </si>
  <si>
    <t>Amazon Fulfillment Center XDU1</t>
  </si>
  <si>
    <t>LCJ4</t>
  </si>
  <si>
    <t>Amazon（LCJ4）</t>
  </si>
  <si>
    <t>Amazon Fulfilment Center LCJ4</t>
  </si>
  <si>
    <t>GYR3</t>
  </si>
  <si>
    <t>8181 W ROOSEVELT ST</t>
  </si>
  <si>
    <t>PHOENIX</t>
  </si>
  <si>
    <t>85043-2356</t>
  </si>
  <si>
    <t>Amazon Fulfillment Center GYR3</t>
  </si>
  <si>
    <t>TEB9</t>
  </si>
  <si>
    <t>601 Randolph Road</t>
  </si>
  <si>
    <t>SOMERSET</t>
  </si>
  <si>
    <t>08873</t>
  </si>
  <si>
    <t>Amazon Fulfillment Center TEB9</t>
  </si>
  <si>
    <t>ORD2</t>
  </si>
  <si>
    <t>23714 W Amoco Rd</t>
  </si>
  <si>
    <t>CHANNAHON</t>
  </si>
  <si>
    <t>60410-8758</t>
  </si>
  <si>
    <t>Amazon Fulfillment Center ORD2</t>
  </si>
  <si>
    <t>DCA6</t>
  </si>
  <si>
    <t>6001 Bethlehem Blvd</t>
  </si>
  <si>
    <t>BALTIMORE</t>
  </si>
  <si>
    <t>21219-1041</t>
  </si>
  <si>
    <t>Amazon Fulfillment Center DCA6</t>
  </si>
  <si>
    <t>KRB1</t>
  </si>
  <si>
    <t>555 E ORANGE SHOW RD</t>
  </si>
  <si>
    <t>SAN BERNARDINO</t>
  </si>
  <si>
    <t>92408</t>
  </si>
  <si>
    <t>Amazon Fulfillment Center KRB1</t>
  </si>
  <si>
    <t>XSC1</t>
  </si>
  <si>
    <t>Hans Geiger Strasse 7</t>
  </si>
  <si>
    <t>Rhineland-Palatinate</t>
  </si>
  <si>
    <t>Kaiserslautern</t>
  </si>
  <si>
    <t>67661</t>
  </si>
  <si>
    <t>Amazon  (XSC1)</t>
  </si>
  <si>
    <t>Amazon Fulfillment Center XSC1</t>
  </si>
  <si>
    <t>XDU2</t>
  </si>
  <si>
    <t>Im Lekkerland 2,  Oberhausen, Rhine Westphalia</t>
  </si>
  <si>
    <t>Oberhausen</t>
  </si>
  <si>
    <t>46147</t>
  </si>
  <si>
    <t>Amazon  （XDU2）</t>
  </si>
  <si>
    <t>Amazon Fulfillment Center XDU2</t>
  </si>
  <si>
    <t>XHA1</t>
  </si>
  <si>
    <t>Am Holz 3 a, Neu Wulmstorf, Harburg</t>
  </si>
  <si>
    <t>Harburg</t>
  </si>
  <si>
    <t>21629</t>
  </si>
  <si>
    <t>Amazon （XHA1）</t>
  </si>
  <si>
    <t>Amazon Fulfillment Center XHA1</t>
  </si>
  <si>
    <t>KRB4</t>
  </si>
  <si>
    <t>4501 PATTERSON AVE</t>
  </si>
  <si>
    <t>PERRIS</t>
  </si>
  <si>
    <t>92571-9722</t>
  </si>
  <si>
    <t>Amazon Fulfillment Center KRB4</t>
  </si>
  <si>
    <t>LGB3</t>
  </si>
  <si>
    <t>4950 Goodman Way</t>
  </si>
  <si>
    <t>91752-5087</t>
  </si>
  <si>
    <t>Amazon Fulfillment Center LGB3</t>
  </si>
  <si>
    <t>OKC1</t>
  </si>
  <si>
    <t>9201 S Portland Avenue</t>
  </si>
  <si>
    <t>OK</t>
  </si>
  <si>
    <t>OKLAHOMA CITY</t>
  </si>
  <si>
    <t>73159-0003</t>
  </si>
  <si>
    <t>Amazon Fulfillment Center OKC1</t>
  </si>
  <si>
    <t>BHX7</t>
  </si>
  <si>
    <t>Unit 2, Hinckley Park , Avery Way Hinckley</t>
  </si>
  <si>
    <t>Leicestershire</t>
  </si>
  <si>
    <t>Hinckley</t>
  </si>
  <si>
    <t>LE10 3FF</t>
  </si>
  <si>
    <t>Amazon(BHX7)</t>
  </si>
  <si>
    <t>Amazon Fulfillment Center(BHX7)</t>
  </si>
  <si>
    <t>XOS1</t>
  </si>
  <si>
    <t>160 Rue de Corbehem</t>
  </si>
  <si>
    <t>Hauts-de</t>
  </si>
  <si>
    <t>Brebieres</t>
  </si>
  <si>
    <t>62117</t>
  </si>
  <si>
    <t>Amazon(XOS1)</t>
  </si>
  <si>
    <t>Amazon Fulfillment Center XOS1</t>
  </si>
  <si>
    <t>GRR1</t>
  </si>
  <si>
    <t>4500 68th Street SE</t>
  </si>
  <si>
    <t>CALEDONIA</t>
  </si>
  <si>
    <t>49316-9141</t>
  </si>
  <si>
    <t>Amazon Fulfillment Center GRR1</t>
  </si>
  <si>
    <t>PCW1</t>
  </si>
  <si>
    <t>27400 Crossroads Parkway</t>
  </si>
  <si>
    <t>ROSSFORD</t>
  </si>
  <si>
    <t>43460-1706</t>
  </si>
  <si>
    <t>Amazon Fulfillment Center PCW1</t>
  </si>
  <si>
    <t>SBD1</t>
  </si>
  <si>
    <t>3388 S Cactus Ave</t>
  </si>
  <si>
    <t>BLOOMINGTON</t>
  </si>
  <si>
    <t>92316-3819</t>
  </si>
  <si>
    <t>Amazon Fulfillment Center SBD1</t>
  </si>
  <si>
    <t>FTW6</t>
  </si>
  <si>
    <t>2601 W Bethel Road</t>
  </si>
  <si>
    <t>75261-4034</t>
  </si>
  <si>
    <t>Amazon Fulfillment Center FTW6</t>
  </si>
  <si>
    <t>LGB7</t>
  </si>
  <si>
    <t>1660 N. Linden Avenue</t>
  </si>
  <si>
    <t>92376-2427</t>
  </si>
  <si>
    <t>Amazon Fulfillment Center LGB7</t>
  </si>
  <si>
    <t>MXP6</t>
  </si>
  <si>
    <t>Strada Provinciale 299 snc AGOGNATE</t>
  </si>
  <si>
    <t>NOVARA</t>
  </si>
  <si>
    <t>28100</t>
  </si>
  <si>
    <t>Amazon(MXP6)</t>
  </si>
  <si>
    <t>Amazon Fulfillment Center MXP6</t>
  </si>
  <si>
    <t>000000</t>
  </si>
  <si>
    <t>GEG2</t>
  </si>
  <si>
    <t>18007 E Garland Ave</t>
  </si>
  <si>
    <t>SPOKANE</t>
  </si>
  <si>
    <t>99216-6102</t>
  </si>
  <si>
    <t>Amazon Fulfillment Center GEG2</t>
  </si>
  <si>
    <t>SWF1</t>
  </si>
  <si>
    <t>635 INTERNATIONAL BLVD</t>
  </si>
  <si>
    <t>ROCK TAVERN</t>
  </si>
  <si>
    <t>12575-5150</t>
  </si>
  <si>
    <t>Amazon Fulfillment Center SWF1</t>
  </si>
  <si>
    <t>JAX2</t>
  </si>
  <si>
    <t>12900 Pecan Park Road</t>
  </si>
  <si>
    <t>32218-2432</t>
  </si>
  <si>
    <t>Amazon Fulfillment Center JAX2</t>
  </si>
  <si>
    <t>BGY1</t>
  </si>
  <si>
    <t>Via Primo Maggio 8</t>
  </si>
  <si>
    <t>Cividate al Piano</t>
  </si>
  <si>
    <t>BERGAMO</t>
  </si>
  <si>
    <t>24050</t>
  </si>
  <si>
    <t>Amazon(BGY1)</t>
  </si>
  <si>
    <t>Amazon Fulfillment Center BGY1</t>
  </si>
  <si>
    <t>LAS7</t>
  </si>
  <si>
    <t>6001 East Tropical Parkway</t>
  </si>
  <si>
    <t>Las Vegas</t>
  </si>
  <si>
    <t>89115-1935</t>
  </si>
  <si>
    <t>Amazon Fulfillment Center LAS7</t>
  </si>
  <si>
    <t>RDU1</t>
  </si>
  <si>
    <t>4851 Jones Sausage Rd</t>
  </si>
  <si>
    <t>GARNER</t>
  </si>
  <si>
    <t>27529-9438</t>
  </si>
  <si>
    <t>Amazon Fulfillment Center RDU1</t>
  </si>
  <si>
    <t>BFL1</t>
  </si>
  <si>
    <t>1601 Petrol Road</t>
  </si>
  <si>
    <t>BAKERSFIELD</t>
  </si>
  <si>
    <t>93308-9755</t>
  </si>
  <si>
    <t>Amazon Fulfillment Center BFL1</t>
  </si>
  <si>
    <t>FTW5</t>
  </si>
  <si>
    <t>1475 AKRON WAY</t>
  </si>
  <si>
    <t>FORNEY</t>
  </si>
  <si>
    <t>75126-3566</t>
  </si>
  <si>
    <t>Amazon Fulfillment Center FTW5</t>
  </si>
  <si>
    <t>XWR3</t>
  </si>
  <si>
    <t>Am Zeugamt 6, Oschatz, Saxony</t>
  </si>
  <si>
    <t>Amazon (XWR3)</t>
  </si>
  <si>
    <t>Amazon Fulfilment Center XWR3</t>
  </si>
  <si>
    <t>GYR2</t>
  </si>
  <si>
    <t>17341 W MINNEZONA AVE</t>
  </si>
  <si>
    <t>GOODYEAR</t>
  </si>
  <si>
    <t>85395-7672</t>
  </si>
  <si>
    <t>Amazon(GYR2)</t>
  </si>
  <si>
    <t>Amazon Fulfillment Center(GYR2)</t>
  </si>
  <si>
    <t>LEJ5</t>
  </si>
  <si>
    <t>Am Steingarten 2</t>
  </si>
  <si>
    <t>TH</t>
  </si>
  <si>
    <t>GERA</t>
  </si>
  <si>
    <t>07554</t>
  </si>
  <si>
    <t>Amazon （LEJ5）</t>
  </si>
  <si>
    <t>Amazon Fulfillment Center LEJ5</t>
  </si>
  <si>
    <t>0000000</t>
  </si>
  <si>
    <t>OKC2</t>
  </si>
  <si>
    <t>8991 S Portland Avenue</t>
  </si>
  <si>
    <t>Amazon(OKC2)</t>
  </si>
  <si>
    <t>Amazon Fulfillment Center(OKC2)</t>
  </si>
  <si>
    <t>XOR3</t>
  </si>
  <si>
    <t>ZAC du Val Breon</t>
  </si>
  <si>
    <t>Ile de France</t>
  </si>
  <si>
    <t>Chatres</t>
  </si>
  <si>
    <t>77610</t>
  </si>
  <si>
    <t>Amazon(XOR3)</t>
  </si>
  <si>
    <t>Amazon Fulfillment Center(XOR3)</t>
  </si>
  <si>
    <t>BOI2</t>
  </si>
  <si>
    <t>5295 E. Franklin Road</t>
  </si>
  <si>
    <t>ID</t>
  </si>
  <si>
    <t>NAMPA</t>
  </si>
  <si>
    <t>83687-5548</t>
  </si>
  <si>
    <t>Amazon(BOI2)</t>
  </si>
  <si>
    <t>Amazon Fulfillment Center(BOI2)</t>
  </si>
  <si>
    <t>HOU8</t>
  </si>
  <si>
    <t>2303 Hurricane Lane</t>
  </si>
  <si>
    <t>FRESNO</t>
  </si>
  <si>
    <t>77545-1129</t>
  </si>
  <si>
    <t>Amazon(HOU8)</t>
  </si>
  <si>
    <t>Amazon Fulfillment Center(HOU8)</t>
  </si>
  <si>
    <t>FAR1</t>
  </si>
  <si>
    <t>3701 40TH AVE N FARGO, ND</t>
  </si>
  <si>
    <t>ND</t>
  </si>
  <si>
    <t>FARGO</t>
  </si>
  <si>
    <t>58102-7400</t>
  </si>
  <si>
    <t>Amazon(FAR1)</t>
  </si>
  <si>
    <t>Amazon Fulfillment Center(FAR1)</t>
  </si>
  <si>
    <t>FAT1</t>
  </si>
  <si>
    <t>3575 S. Orange Ave.</t>
  </si>
  <si>
    <t>Fresno</t>
  </si>
  <si>
    <t>93725-9588</t>
  </si>
  <si>
    <t>Amazon(FAT1)</t>
  </si>
  <si>
    <t>Amazon Fulfillment Center(FAT1)</t>
  </si>
  <si>
    <t>SMF6</t>
  </si>
  <si>
    <t>4930 ALLBAUGH DR</t>
  </si>
  <si>
    <t>SACRAMENTO</t>
  </si>
  <si>
    <t>95837-9109</t>
  </si>
  <si>
    <t>Amazon(SMF6)</t>
  </si>
  <si>
    <t>Amazon Fulfillment Center(SMF6)</t>
  </si>
  <si>
    <t>XDS1</t>
  </si>
  <si>
    <t>Gateway 4 Jackson Lane Dale View DONCASTER, Yorkshire</t>
  </si>
  <si>
    <t>Yorkshire</t>
  </si>
  <si>
    <t>DN3 3EA</t>
  </si>
  <si>
    <t>Amazon(XDS1 )</t>
  </si>
  <si>
    <t>Amazon Fulfillment Center(XDS1 )</t>
  </si>
  <si>
    <t>XBH4</t>
  </si>
  <si>
    <t>GRAVELLY WAY CEVA Logistics WOLVERHAMPTON, West Midlands</t>
  </si>
  <si>
    <t>Birmingham</t>
  </si>
  <si>
    <t>WV10 7GW</t>
  </si>
  <si>
    <t>Amazon(XBH4)</t>
  </si>
  <si>
    <t>Amazon Fulfillment Center(XBH4)</t>
  </si>
  <si>
    <t>FAT2</t>
  </si>
  <si>
    <t>3315 N KELSEY ST</t>
  </si>
  <si>
    <t>VISALIA</t>
  </si>
  <si>
    <t>93291-1882</t>
  </si>
  <si>
    <t>Amazon(FAT2)</t>
  </si>
  <si>
    <t>Amazon Fulfillment Center(FAT2)</t>
  </si>
  <si>
    <t>AKC1</t>
  </si>
  <si>
    <t>2450 ROMIG RD</t>
  </si>
  <si>
    <t>AKRON</t>
  </si>
  <si>
    <t>44320-3827</t>
  </si>
  <si>
    <t>Amazon(AKC1)</t>
  </si>
  <si>
    <t>Amazon Fulfillment Center(AKC1)</t>
  </si>
  <si>
    <t>PDX9</t>
  </si>
  <si>
    <t>1250 NW Swigert Way</t>
  </si>
  <si>
    <t>Troutdale</t>
  </si>
  <si>
    <t>97060</t>
  </si>
  <si>
    <t>Amazon(PDX9)</t>
  </si>
  <si>
    <t>Amazon Fulfillment Center(PDX9)</t>
  </si>
  <si>
    <t>TUL2</t>
  </si>
  <si>
    <t>4040 North 125th East Avenue</t>
  </si>
  <si>
    <t>TULSA</t>
  </si>
  <si>
    <t>74116-2102</t>
  </si>
  <si>
    <t>Amazon(TUL2)</t>
  </si>
  <si>
    <t>Amazon Fulfillment Center(TUL2)</t>
  </si>
  <si>
    <t>ICT2</t>
  </si>
  <si>
    <t>7130 N BROADWAY</t>
  </si>
  <si>
    <t>PARK CITY</t>
  </si>
  <si>
    <t>67219</t>
  </si>
  <si>
    <t>Amazon(ICT2)</t>
  </si>
  <si>
    <t>Amazon Fulfillment Center(ICT2)</t>
  </si>
  <si>
    <t>DCA1</t>
  </si>
  <si>
    <t>1700 Sparrows Point Boulevard</t>
  </si>
  <si>
    <t>Sparrows Point</t>
  </si>
  <si>
    <t>21219</t>
  </si>
  <si>
    <t>Amazon(DCA1)</t>
  </si>
  <si>
    <t>Amazon Fulfillment Center(DCA1)</t>
  </si>
  <si>
    <t>MAD7</t>
  </si>
  <si>
    <t>Carretera antigua Madrid-Toledo 38D</t>
  </si>
  <si>
    <t>Illescas</t>
  </si>
  <si>
    <t>Amazon (MAD7)</t>
  </si>
  <si>
    <t>Amazon Fulfillment Center</t>
  </si>
  <si>
    <t>SAT4</t>
  </si>
  <si>
    <t>10384 W US HIGHWAY 90</t>
  </si>
  <si>
    <t>SAN ANTONIO</t>
  </si>
  <si>
    <t>78245-9512</t>
  </si>
  <si>
    <t>Amazon(SAT4)</t>
  </si>
  <si>
    <t>Amazon Fulfillment Center(SAT4)</t>
  </si>
  <si>
    <t>RDG1</t>
  </si>
  <si>
    <t>3563 Mountain Road</t>
  </si>
  <si>
    <t>HAMBURG</t>
  </si>
  <si>
    <t>19526-7947</t>
  </si>
  <si>
    <t>Amazon（RDG1）</t>
  </si>
  <si>
    <t>DAL2</t>
  </si>
  <si>
    <t>2601 S. Airfield Drive</t>
  </si>
  <si>
    <t>DFW Airport</t>
  </si>
  <si>
    <t>75261</t>
  </si>
  <si>
    <t>Amazon(DAL2)</t>
  </si>
  <si>
    <t>Amazon Fulfillment Center(DAL2)</t>
  </si>
  <si>
    <t>IGQ2</t>
  </si>
  <si>
    <t>23257 S. Central Avenue</t>
  </si>
  <si>
    <t>University Park</t>
  </si>
  <si>
    <t>60484-3271</t>
  </si>
  <si>
    <t>Amazon(IGQ2)</t>
  </si>
  <si>
    <t>Amazon Fulfillment Center(IGQ2)</t>
  </si>
  <si>
    <t>SCK4</t>
  </si>
  <si>
    <t>6001 S AUSTIN</t>
  </si>
  <si>
    <t>95215-8354</t>
  </si>
  <si>
    <t>Amazon(SCK4)</t>
  </si>
  <si>
    <t>Amazon Fulfillment Center(SCK4)</t>
  </si>
  <si>
    <t>BRS2</t>
  </si>
  <si>
    <t>Unit 2, Symmetry Park</t>
  </si>
  <si>
    <t>Swindon</t>
  </si>
  <si>
    <t>SN3 4DB</t>
  </si>
  <si>
    <t>Amazon(BRS2)</t>
  </si>
  <si>
    <t>Amazon Fulfillment Center(BRS2)</t>
  </si>
  <si>
    <t>EMA3</t>
  </si>
  <si>
    <t>10 Oyster Road</t>
  </si>
  <si>
    <t>Nottingham</t>
  </si>
  <si>
    <t>NG16 3UA</t>
  </si>
  <si>
    <t>Amazon(EMA3)</t>
  </si>
  <si>
    <t>Amazon Fulfillment Center(EMA3)</t>
  </si>
  <si>
    <t>LCY3</t>
  </si>
  <si>
    <t>Unit 1 Powerhouse Drive, Dartford</t>
  </si>
  <si>
    <t>Thames</t>
  </si>
  <si>
    <t>DA1 5XU</t>
  </si>
  <si>
    <t>Amazon(LCY3)</t>
  </si>
  <si>
    <t>Amazon Fulfillment Center(LCY3)</t>
  </si>
  <si>
    <t>LTN7</t>
  </si>
  <si>
    <t>Bedford 405, Bedford Commercial Park</t>
  </si>
  <si>
    <t>Raunds</t>
  </si>
  <si>
    <t>MK43 9JH</t>
  </si>
  <si>
    <t>Amazon(LTN7)</t>
  </si>
  <si>
    <t>Amazon Fulfillment Center(LTN7)</t>
  </si>
  <si>
    <t>NCL1</t>
  </si>
  <si>
    <t>17 Follingsby Ln, Gateshead</t>
  </si>
  <si>
    <t>Newcastle</t>
  </si>
  <si>
    <t>NE10 8YA</t>
  </si>
  <si>
    <t>Amazon(NCL1)</t>
  </si>
  <si>
    <t>Amazon Fulfillment Center(NCL1)</t>
  </si>
  <si>
    <t>XBH3</t>
  </si>
  <si>
    <t>Optimus Point, Leicester</t>
  </si>
  <si>
    <t>Leicester</t>
  </si>
  <si>
    <t>LE3 8JT</t>
  </si>
  <si>
    <t>Amazon(XBH3)</t>
  </si>
  <si>
    <t>Amazon Fulfillment Center(XBH3)</t>
  </si>
  <si>
    <t>XLP1</t>
  </si>
  <si>
    <t>Industrial Park, Zone 3, Weighbridge Rd</t>
  </si>
  <si>
    <t>Deeside</t>
  </si>
  <si>
    <t>CH5 2LL</t>
  </si>
  <si>
    <t>Amazon(XLP1)</t>
  </si>
  <si>
    <t>Amazon Fulfillment Center(XLP1)</t>
  </si>
  <si>
    <t>AFW1</t>
  </si>
  <si>
    <t>1851 NE LOOP 820</t>
  </si>
  <si>
    <t>FORT WORTH</t>
  </si>
  <si>
    <t>76131-1694</t>
  </si>
  <si>
    <t>Amazon(AFW1)</t>
  </si>
  <si>
    <t>Amazon Fulfillment Center(AFW1)</t>
  </si>
  <si>
    <t>LIT2</t>
  </si>
  <si>
    <t>13001 HIGHWAY 70</t>
  </si>
  <si>
    <t>AR</t>
  </si>
  <si>
    <t>NORTH LITTLE ROCK</t>
  </si>
  <si>
    <t>72117-5026</t>
  </si>
  <si>
    <t>Amazon(LIT2)</t>
  </si>
  <si>
    <t>Amazon  Fulfillment Center(LIT2)</t>
  </si>
  <si>
    <t>FOE1</t>
  </si>
  <si>
    <t>9400 Leavenworth Rd</t>
  </si>
  <si>
    <t>66109</t>
  </si>
  <si>
    <t>Amazon(FOE1)</t>
  </si>
  <si>
    <t>Amazon Fulfillment Center(FOE1)</t>
  </si>
  <si>
    <t>LCJ3</t>
  </si>
  <si>
    <t>Amazon（LCJ3）</t>
  </si>
  <si>
    <t>Amazon Fulfilment Center LCJ3</t>
  </si>
  <si>
    <t>SBD2</t>
  </si>
  <si>
    <t>1494 S WATERMAN AVE</t>
  </si>
  <si>
    <t>92408-2805</t>
  </si>
  <si>
    <t>Amazon(SBD2)</t>
  </si>
  <si>
    <t>Amazon Fulfillment Center(SBD2)</t>
  </si>
  <si>
    <t>TTN2</t>
  </si>
  <si>
    <t>343 HALF ACRE RD</t>
  </si>
  <si>
    <t>CRANBURY</t>
  </si>
  <si>
    <t>08512-3253</t>
  </si>
  <si>
    <t>Amazon(TTN2)</t>
  </si>
  <si>
    <t>Amazon Fulfillment Center(TTN2)</t>
  </si>
  <si>
    <t>SAT6</t>
  </si>
  <si>
    <t>1346 Fortuna Road</t>
  </si>
  <si>
    <t>SAN MARCOS</t>
  </si>
  <si>
    <t>78666-0001</t>
  </si>
  <si>
    <t>Amazo(SAT6)</t>
  </si>
  <si>
    <t>Amazon Fulfillment Center(SAT6)</t>
  </si>
  <si>
    <t>STL3</t>
  </si>
  <si>
    <t>3200 E SAWYER RD</t>
  </si>
  <si>
    <t>MO</t>
  </si>
  <si>
    <t>REPUBLIC</t>
  </si>
  <si>
    <t>65738-2779</t>
  </si>
  <si>
    <t>Amazon(STL3)</t>
  </si>
  <si>
    <t>Amazon Fulfillment Center(STL3)</t>
  </si>
  <si>
    <t>FWA4</t>
  </si>
  <si>
    <t>9798 Smith Road</t>
  </si>
  <si>
    <t>FORT WAYNE</t>
  </si>
  <si>
    <t>46809-9771</t>
  </si>
  <si>
    <t>Amazon(FWA4)</t>
  </si>
  <si>
    <t>Amazon Fulfillment Center(FWA4)</t>
  </si>
  <si>
    <t>LBA3</t>
  </si>
  <si>
    <t>Unit 3 Water Vole Way</t>
  </si>
  <si>
    <t>DN4 5JP</t>
  </si>
  <si>
    <t>Amazon(LBA3)</t>
  </si>
  <si>
    <t>Amazon Fulfillment Center(LBA3)</t>
  </si>
  <si>
    <t>00000000000</t>
  </si>
  <si>
    <t>LGB9</t>
  </si>
  <si>
    <t>4375 N Perris Blvd</t>
  </si>
  <si>
    <t>92571-7901</t>
  </si>
  <si>
    <t>Amazon(LGB9)</t>
  </si>
  <si>
    <t>Amazon Fulfillment Center(LGB9)</t>
  </si>
  <si>
    <t>LFT1</t>
  </si>
  <si>
    <t>3550 NE EVANGELINE TRWY</t>
  </si>
  <si>
    <t>LA</t>
  </si>
  <si>
    <t>CARENCRO</t>
  </si>
  <si>
    <t>70520-5976</t>
  </si>
  <si>
    <t>Amazon（LFT1）</t>
  </si>
  <si>
    <t>Amazon Fulfillment Center(LFT1）</t>
  </si>
  <si>
    <t>VESK</t>
  </si>
  <si>
    <t>7 rue du Chrome</t>
  </si>
  <si>
    <t>Savigny le Temple</t>
  </si>
  <si>
    <t>77176</t>
  </si>
  <si>
    <t>Amazon （VESK）</t>
  </si>
  <si>
    <t>Amazon Fulfilment Center VESK</t>
  </si>
  <si>
    <t>XRE1</t>
  </si>
  <si>
    <t>Avenida de las Puntas 10</t>
  </si>
  <si>
    <t>Constanti</t>
  </si>
  <si>
    <t>Tarragona</t>
  </si>
  <si>
    <t>43120</t>
  </si>
  <si>
    <t>Amazon(XRE1)</t>
  </si>
  <si>
    <t>Amazon Fulfillment Center XRE1</t>
  </si>
  <si>
    <t>TEB4</t>
  </si>
  <si>
    <t>747 COURSES LANDING RD 08069-2957 - PENNS GROVE, NJ - United States</t>
  </si>
  <si>
    <t>PENNS GROVE</t>
  </si>
  <si>
    <t>08069-2957</t>
  </si>
  <si>
    <t>Amazon(TEB4)</t>
  </si>
  <si>
    <t>ILG1</t>
  </si>
  <si>
    <t>780 S. DuPont Highway NEW CASTLE, DE 19720-4610</t>
  </si>
  <si>
    <t>NEW CASTLE, DE</t>
  </si>
  <si>
    <t>19720-4610</t>
  </si>
  <si>
    <t>Amazon(ILG1)</t>
  </si>
  <si>
    <t>Amazon Fulfillment Center(ILG1)</t>
  </si>
  <si>
    <t>HSV1</t>
  </si>
  <si>
    <t>7817 Greenbrier Road MADISON, AL 35756-4403 US (HSV1)</t>
  </si>
  <si>
    <t>AL</t>
  </si>
  <si>
    <t>MADISON</t>
  </si>
  <si>
    <t>35756-4403</t>
  </si>
  <si>
    <t>Amazon （HSV1)</t>
  </si>
  <si>
    <t>Amazon Fulfillment Center （HSV1)</t>
  </si>
  <si>
    <t>RMU1</t>
  </si>
  <si>
    <t>Calle Isidro Vivancos Munoz Parque Logistico del Sureste</t>
  </si>
  <si>
    <t>Murcia</t>
  </si>
  <si>
    <t>30156</t>
  </si>
  <si>
    <t>Amazon(RMU1)</t>
  </si>
  <si>
    <t>DEN8</t>
  </si>
  <si>
    <t>21000 E 13th Ave. AURORA, CO 80018</t>
  </si>
  <si>
    <t>AURORA</t>
  </si>
  <si>
    <t>80018</t>
  </si>
  <si>
    <t>Amazon（DEN8）</t>
  </si>
  <si>
    <t>Amazon Fulfillment Center（DEN8）</t>
  </si>
  <si>
    <t>XOR1</t>
  </si>
  <si>
    <t>Parc d’activité de l’A5，2449 Rue Denis Papin</t>
  </si>
  <si>
    <t>Réau</t>
  </si>
  <si>
    <t>77550</t>
  </si>
  <si>
    <t>Amazon （XOR1）</t>
  </si>
  <si>
    <t>Amazon Fulfillment Center XOR1</t>
  </si>
  <si>
    <t>XBH7</t>
  </si>
  <si>
    <t>Fortress Way Suffolk Park - Bury St. Edmunds</t>
  </si>
  <si>
    <t>Suffolk</t>
  </si>
  <si>
    <t>IP32 7FQ</t>
  </si>
  <si>
    <t>Amazon.com</t>
  </si>
  <si>
    <t>00000000</t>
  </si>
  <si>
    <t>STR2</t>
  </si>
  <si>
    <t>Oggenhauser Hauptstrasse 151 ，Heindenheim an der Brenz</t>
  </si>
  <si>
    <t>Baden Wurttem</t>
  </si>
  <si>
    <t>89522</t>
  </si>
  <si>
    <t>Amazon(STR2)</t>
  </si>
  <si>
    <t>Amazon Fulfillment Center STR2</t>
  </si>
  <si>
    <t>HAM2</t>
  </si>
  <si>
    <t>Borgwardstrasse 10 21423 - Winsen an der Luhe</t>
  </si>
  <si>
    <t>Lower Saxony</t>
  </si>
  <si>
    <t>21423</t>
  </si>
  <si>
    <t>Amazon(HAM2)</t>
  </si>
  <si>
    <t>Amazon Fulfillment Center HAM2</t>
  </si>
  <si>
    <t>XFR3</t>
  </si>
  <si>
    <t>Stadtring 265Michelstadt</t>
  </si>
  <si>
    <t>Darmstadt</t>
  </si>
  <si>
    <t>64720</t>
  </si>
  <si>
    <t>Amazon(XFR3)</t>
  </si>
  <si>
    <t>Amazon Fulfillment Center XFR3</t>
  </si>
  <si>
    <t>GB</t>
  </si>
  <si>
    <t>TETS001</t>
  </si>
  <si>
    <t>英国1</t>
  </si>
  <si>
    <t>XMA1</t>
  </si>
  <si>
    <t>Avenida Rio Henares, 16</t>
  </si>
  <si>
    <t>Guadalajara</t>
  </si>
  <si>
    <t>Alovera</t>
  </si>
  <si>
    <t>19208</t>
  </si>
  <si>
    <t>Amazon(XMA1)</t>
  </si>
  <si>
    <t>Amazon Fulfillment Center XMA1</t>
  </si>
  <si>
    <t>FRA1</t>
  </si>
  <si>
    <t>AM SCHLOSS EICHHOF 1</t>
  </si>
  <si>
    <t>BAD HERSFELD</t>
  </si>
  <si>
    <t>Amazon （FRA1）</t>
  </si>
  <si>
    <t>Amazon Fulfillment Center FRA1</t>
  </si>
  <si>
    <t>XDEV</t>
  </si>
  <si>
    <t>Groner Siekanger 3</t>
  </si>
  <si>
    <t>Göttingen</t>
  </si>
  <si>
    <t>37081</t>
  </si>
  <si>
    <t>Amazon(XDEV)</t>
  </si>
  <si>
    <t>CDG7</t>
  </si>
  <si>
    <t>1 avenue Alain Boucher Parc d'activites des Portes de senlis</t>
  </si>
  <si>
    <t>Oise</t>
  </si>
  <si>
    <t>Senlis</t>
  </si>
  <si>
    <t>60300</t>
  </si>
  <si>
    <t>Amazon (CDG7)</t>
  </si>
  <si>
    <t>Amazon Fulfilment Center CDG7</t>
  </si>
  <si>
    <t>XMP4</t>
  </si>
  <si>
    <t>Zona Industriale Strada Per Silvano</t>
  </si>
  <si>
    <t>Lombardy</t>
  </si>
  <si>
    <t>Casei Gerola</t>
  </si>
  <si>
    <t>27050</t>
  </si>
  <si>
    <t>Amazon (XMP4）</t>
  </si>
  <si>
    <t>Amazon Fulfillment Center XMP4</t>
  </si>
  <si>
    <t>BRE4</t>
  </si>
  <si>
    <t>Max-Naumann-Strasse 1</t>
  </si>
  <si>
    <t>Niedersachsen</t>
  </si>
  <si>
    <t>Achim</t>
  </si>
  <si>
    <t>28832</t>
  </si>
  <si>
    <t>Amazon BRE4</t>
  </si>
  <si>
    <t>Amazon Fulfillment Center(BRE4)</t>
  </si>
  <si>
    <t>BDL2</t>
  </si>
  <si>
    <t>200 Old Iron Ore Rd Windsor, CT 06095-2144</t>
  </si>
  <si>
    <t>CT</t>
  </si>
  <si>
    <t>Windsor</t>
  </si>
  <si>
    <t>06095</t>
  </si>
  <si>
    <t>Amazon BDL2</t>
  </si>
  <si>
    <t>ACY1</t>
  </si>
  <si>
    <t>240 Mantua Grove Road - West Deptford, 08066 ，NJ</t>
  </si>
  <si>
    <t>ACY1-AMAZON</t>
  </si>
  <si>
    <t>VLC1</t>
  </si>
  <si>
    <t>Calle Panama, 28</t>
  </si>
  <si>
    <t>Castellon</t>
  </si>
  <si>
    <t>Onda</t>
  </si>
  <si>
    <t>12200</t>
  </si>
  <si>
    <t>Amazon(VLC1)</t>
  </si>
  <si>
    <t>Amazon Fulfillment Center VLC1</t>
  </si>
  <si>
    <t>PSR2</t>
  </si>
  <si>
    <t>Viale Germania, 29</t>
  </si>
  <si>
    <t>San Salvo, CH</t>
  </si>
  <si>
    <t>66050</t>
  </si>
  <si>
    <t>Amazon (PSR2)</t>
  </si>
  <si>
    <t>Amazon Fulfillment Center (PSR2)</t>
  </si>
  <si>
    <t>HAJ1</t>
  </si>
  <si>
    <t>Zur Alten Molkerei 1</t>
  </si>
  <si>
    <t>Helmstedt</t>
  </si>
  <si>
    <t>38350</t>
  </si>
  <si>
    <t>Amazon HAJ1</t>
  </si>
  <si>
    <t>Amazon Fulfillment Center(HAJ1)</t>
  </si>
  <si>
    <t>BER8</t>
  </si>
  <si>
    <t>Am Möllenpfuhl 2</t>
  </si>
  <si>
    <t>Schönefeld</t>
  </si>
  <si>
    <t>12529</t>
  </si>
  <si>
    <t>Amazon  (BER8)</t>
  </si>
  <si>
    <t>Amazon Fulfilment Center BER8</t>
  </si>
  <si>
    <t>XOR2</t>
  </si>
  <si>
    <t>Satolas,Parc des Chenes Nord Rue du Brisson,Batiment IDC9</t>
  </si>
  <si>
    <t>Satolas-et-Bonce</t>
  </si>
  <si>
    <t>38290</t>
  </si>
  <si>
    <t>Amazon (XOR2)</t>
  </si>
  <si>
    <t>Amazon Fulfillment Center XOR2</t>
  </si>
  <si>
    <t>XCD1</t>
  </si>
  <si>
    <t>50 Boulevard de l Europe</t>
  </si>
  <si>
    <t>Combs-la-Ville</t>
  </si>
  <si>
    <t>77380</t>
  </si>
  <si>
    <t>Amazon （XCD1）</t>
  </si>
  <si>
    <t>Amazon Fulfillment Center XCD1</t>
  </si>
  <si>
    <t>LPL2</t>
  </si>
  <si>
    <t>Unit 1 Marl Road PLP Knowsley</t>
  </si>
  <si>
    <t>Lancashire</t>
  </si>
  <si>
    <t>LIVERPOOL</t>
  </si>
  <si>
    <t>L33 7AP</t>
  </si>
  <si>
    <t>Amazon （LPL2）</t>
  </si>
  <si>
    <t>Amazon Fulfilment Center LPL2</t>
  </si>
  <si>
    <t>LTN1</t>
  </si>
  <si>
    <t>Marston Gate Fulfillment Centre</t>
  </si>
  <si>
    <t>Bedfordshire</t>
  </si>
  <si>
    <t>Ridgmont</t>
  </si>
  <si>
    <t>MK43 0ZA</t>
  </si>
  <si>
    <t>Amazon(LTN1)</t>
  </si>
  <si>
    <t>Amazon Fulfillment Center(LTN1)</t>
  </si>
  <si>
    <t>FTW9</t>
  </si>
  <si>
    <t>944 West Sandy Lake Road COPPELL, TX 75019-3989</t>
  </si>
  <si>
    <t>COPPELL</t>
  </si>
  <si>
    <t>75019-3989</t>
  </si>
  <si>
    <t>FTW9 - AMAZON</t>
  </si>
  <si>
    <t>FTW9-AMAZON</t>
  </si>
  <si>
    <t>XVA1</t>
  </si>
  <si>
    <t>5 Rue Henri Guillaumet CEVA Logistics</t>
  </si>
  <si>
    <t>Marne</t>
  </si>
  <si>
    <t>Bussy-Lettree</t>
  </si>
  <si>
    <t>51320</t>
  </si>
  <si>
    <t>Amazon (XVA1)</t>
  </si>
  <si>
    <t>Amazon Fulfillment Center XVA1</t>
  </si>
  <si>
    <t>XMA3</t>
  </si>
  <si>
    <t>C/Plata s/n (access by C/Paladio). P.I. Dehesa de la Plata 1</t>
  </si>
  <si>
    <t>Ontigola</t>
  </si>
  <si>
    <t>45340</t>
  </si>
  <si>
    <t>Amazon （XMA3）</t>
  </si>
  <si>
    <t>CEVA XMA3-XESF</t>
  </si>
  <si>
    <t>ETZ2</t>
  </si>
  <si>
    <t>1,rue de la Croix de Lorraine</t>
  </si>
  <si>
    <t>Augny</t>
  </si>
  <si>
    <t>57685</t>
  </si>
  <si>
    <t>Amazon (ETZ2)</t>
  </si>
  <si>
    <t>Amazon Fulfillment Center ETZ2</t>
  </si>
  <si>
    <t>BHX8</t>
  </si>
  <si>
    <t>Unit A, Gateway, Coventry Hwy</t>
  </si>
  <si>
    <t>Redditch</t>
  </si>
  <si>
    <t>B98 9AY</t>
  </si>
  <si>
    <t>Amazon(BHX8)</t>
  </si>
  <si>
    <t>Amazon UK Services BHX8</t>
  </si>
  <si>
    <t>MCE1</t>
  </si>
  <si>
    <t>3200 Fulkerth Road TURLOCK, CA 95380-9684 US</t>
  </si>
  <si>
    <t>TURLOCK</t>
  </si>
  <si>
    <t>95380-9684</t>
  </si>
  <si>
    <t>MCE1-AMAZON</t>
  </si>
  <si>
    <t>P-LCJ3</t>
  </si>
  <si>
    <t>Jozefow 3A 90-001 Lodz</t>
  </si>
  <si>
    <t>Lodz</t>
  </si>
  <si>
    <t>90-001</t>
  </si>
  <si>
    <t>Amazon (LCJ3)</t>
  </si>
  <si>
    <t>Amazon Fulfillment Center LCJ3</t>
  </si>
  <si>
    <t>QXY9</t>
  </si>
  <si>
    <t>36900 W FOURTH ST 92223 - BEAUMONT, CA</t>
  </si>
  <si>
    <t>BEAUMONT</t>
  </si>
  <si>
    <t>92223</t>
  </si>
  <si>
    <t>QXY9-AMAZON</t>
  </si>
  <si>
    <t>SZZ1</t>
  </si>
  <si>
    <t>Kołbaskowo 156 intersection with Highway A6</t>
  </si>
  <si>
    <t>Szczecin West</t>
  </si>
  <si>
    <t>Pomeranian</t>
  </si>
  <si>
    <t>72-001</t>
  </si>
  <si>
    <t>AMAZON EU SARL（SZZ1）</t>
  </si>
  <si>
    <t>KRB7</t>
  </si>
  <si>
    <t>36900 W 4th St 92223 - BEAUMONT, CA</t>
  </si>
  <si>
    <t>AMAZON-KRB7</t>
  </si>
  <si>
    <t>YOW1</t>
  </si>
  <si>
    <t>加拿大</t>
  </si>
  <si>
    <t>5225 BOUNDARY ROAD OTTAWA</t>
  </si>
  <si>
    <t>ON</t>
  </si>
  <si>
    <t>OTTAWA</t>
  </si>
  <si>
    <t>K4B0L3</t>
  </si>
  <si>
    <t>AMAZON-C-YOW1</t>
  </si>
  <si>
    <t>YVR2</t>
  </si>
  <si>
    <t>450 Derwent Place</t>
  </si>
  <si>
    <t>BC</t>
  </si>
  <si>
    <t>Delta</t>
  </si>
  <si>
    <t>V3M5Y9</t>
  </si>
  <si>
    <t>AMAZON-C-YVR2</t>
  </si>
  <si>
    <t>YVR3</t>
  </si>
  <si>
    <t>109 Braid St</t>
  </si>
  <si>
    <t>New Westminster</t>
  </si>
  <si>
    <t>V3L5H4</t>
  </si>
  <si>
    <t>AMAZON-C-YVR3</t>
  </si>
  <si>
    <t>YVR4</t>
  </si>
  <si>
    <t>4189 SALISH SEA WAY</t>
  </si>
  <si>
    <t>TSAWWASSEN</t>
  </si>
  <si>
    <t>V4M0B9</t>
  </si>
  <si>
    <t>AMAZON-C-YVR4</t>
  </si>
  <si>
    <t>YYC1</t>
  </si>
  <si>
    <t>293069 Colonel Robertson Way</t>
  </si>
  <si>
    <t>AB</t>
  </si>
  <si>
    <t>Calgary</t>
  </si>
  <si>
    <t>T4A1C6</t>
  </si>
  <si>
    <t>AMAZON-C-YYC1</t>
  </si>
  <si>
    <t>YEG1</t>
  </si>
  <si>
    <t>1440 39 AVE NISKU</t>
  </si>
  <si>
    <t>EDMONTON</t>
  </si>
  <si>
    <t>T9E0B4</t>
  </si>
  <si>
    <t>AMAZON-C-YEG1</t>
  </si>
  <si>
    <t>YYZ1</t>
  </si>
  <si>
    <t>6363 Millcreek Drive Mississauga, Ontario L5N 1L8</t>
  </si>
  <si>
    <t>Mississauga</t>
  </si>
  <si>
    <t>L5N1L8</t>
  </si>
  <si>
    <t>AMAZON-C-YYZ1</t>
  </si>
  <si>
    <t>YYZ2</t>
  </si>
  <si>
    <t>2750 Peddie Rd. Milton, Ontario L9T 6Y9</t>
  </si>
  <si>
    <t>Milton</t>
  </si>
  <si>
    <t>L9T6Y9</t>
  </si>
  <si>
    <t>AMAZON-C-YYZ2</t>
  </si>
  <si>
    <t>YYZ3</t>
  </si>
  <si>
    <t>7995 Winston Churchill Blvd. Brampton, Ontario, L6Y 5Z4</t>
  </si>
  <si>
    <t>Brampton</t>
  </si>
  <si>
    <t>L6Y5Z4</t>
  </si>
  <si>
    <t>AMAZON-C-YYZ3</t>
  </si>
  <si>
    <t>YYZ4</t>
  </si>
  <si>
    <t>8050 Heritage Road Brampton, ON L6Y 6L5</t>
  </si>
  <si>
    <t>L6Y 6L5</t>
  </si>
  <si>
    <t>AMAZON-C-YYZ4</t>
  </si>
  <si>
    <t>YYZ7</t>
  </si>
  <si>
    <t>12724 Coleraine Drive</t>
  </si>
  <si>
    <t>Bolton</t>
  </si>
  <si>
    <t>L7E4L8</t>
  </si>
  <si>
    <t>AMAZON-C-YYZ7</t>
  </si>
  <si>
    <t>YYZ9</t>
  </si>
  <si>
    <t>6351 Steeles Ave E</t>
  </si>
  <si>
    <t>Scarborough,</t>
  </si>
  <si>
    <t>M1X1N5</t>
  </si>
  <si>
    <t>AMAZON-C-YYZ9</t>
  </si>
  <si>
    <t>YUL2</t>
  </si>
  <si>
    <t>3000 Rue Louis A Amos</t>
  </si>
  <si>
    <t>QC</t>
  </si>
  <si>
    <t>Lachine</t>
  </si>
  <si>
    <t>H8T3P8</t>
  </si>
  <si>
    <t>AMAZON-C-YUL2</t>
  </si>
  <si>
    <t>YOW3</t>
  </si>
  <si>
    <t>222 Citigate Drive(Block13,Citigate)</t>
  </si>
  <si>
    <t>Nepean</t>
  </si>
  <si>
    <t>K2J7C7</t>
  </si>
  <si>
    <t>AMAZON-C-YOW3</t>
  </si>
  <si>
    <t>YHM1</t>
  </si>
  <si>
    <t>110 AEROPARK BLVD.</t>
  </si>
  <si>
    <t>HAMILTON</t>
  </si>
  <si>
    <t>L0R1W1</t>
  </si>
  <si>
    <t>AMAZON-C-YHM1</t>
  </si>
  <si>
    <t>YXX2</t>
  </si>
  <si>
    <t>16131 Blundell Road Richmond,BC V6W 0C6</t>
  </si>
  <si>
    <t>V6W 0C6</t>
  </si>
  <si>
    <t>AMAZON-C-YXX2</t>
  </si>
  <si>
    <t>YOO1</t>
  </si>
  <si>
    <t>789 Salem Road Ajax ON L1Z 0J2</t>
  </si>
  <si>
    <t>AJAX</t>
  </si>
  <si>
    <t>L1Z0J2</t>
  </si>
  <si>
    <t>AMAZON-C-YOO1</t>
  </si>
  <si>
    <t>BCN8</t>
  </si>
  <si>
    <t>Carrer Ca n'Alzina, 161</t>
  </si>
  <si>
    <t>Sabadell</t>
  </si>
  <si>
    <t>08210</t>
  </si>
  <si>
    <t>Amazon (BCN8)</t>
  </si>
  <si>
    <t>Amazon Fulfillment Center BCN8</t>
  </si>
  <si>
    <t>DSA7</t>
  </si>
  <si>
    <t>DSA7 Amazon, Wakefield 515, Grovehall Lane</t>
  </si>
  <si>
    <t>West Yorkshire</t>
  </si>
  <si>
    <t>KNOTTINGLEY</t>
  </si>
  <si>
    <t>WF11 0AB</t>
  </si>
  <si>
    <t>Amazon DSA7</t>
  </si>
  <si>
    <t>Amazon Fulfillment center DSA7</t>
  </si>
  <si>
    <t>XDR1</t>
  </si>
  <si>
    <t>Amazon (XDR1)</t>
  </si>
  <si>
    <t>OLM1</t>
  </si>
  <si>
    <t>3300 HOGUM BAY RD NE</t>
  </si>
  <si>
    <t>OLYMPIA</t>
  </si>
  <si>
    <t>98516-3111</t>
  </si>
  <si>
    <t>AMAZON-OLM1</t>
  </si>
  <si>
    <t>BLQ8</t>
  </si>
  <si>
    <t>Via Pelloni 5</t>
  </si>
  <si>
    <t>Modena</t>
  </si>
  <si>
    <t>Spilamberto</t>
  </si>
  <si>
    <t>41057</t>
  </si>
  <si>
    <t>Amazon (BLQ8/IFC1)</t>
  </si>
  <si>
    <t>Amazon Fulfillment Center BLQ8/IFC1</t>
  </si>
  <si>
    <t>ORF2</t>
  </si>
  <si>
    <t>5045 PORTSMOUTH BLVD CHESAPEAKE, VA 23321-1425 US</t>
  </si>
  <si>
    <t>CHESAPEAKE</t>
  </si>
  <si>
    <t>23321</t>
  </si>
  <si>
    <t>AMAZON-ORF2</t>
  </si>
  <si>
    <t>XFRJ</t>
  </si>
  <si>
    <t>7 rue du Chrome, Savigny le Temple, Ile de France</t>
  </si>
  <si>
    <t>Amazon (XFRJ)</t>
  </si>
  <si>
    <t>Amazon Fulfilment Center XFRJ</t>
  </si>
  <si>
    <t>MDW4</t>
  </si>
  <si>
    <t>201 EMERALD DR</t>
  </si>
  <si>
    <t>60433-3281</t>
  </si>
  <si>
    <t>MDW4-AMAZON</t>
  </si>
  <si>
    <t>AU</t>
  </si>
  <si>
    <t>BNE1</t>
  </si>
  <si>
    <t>澳大利亚</t>
  </si>
  <si>
    <t>42-52 EXPORT STREET LYTTON, QUEENSLAND 4178</t>
  </si>
  <si>
    <t>QUEENSLAND</t>
  </si>
  <si>
    <t>LYTTON</t>
  </si>
  <si>
    <t>4178</t>
  </si>
  <si>
    <t>AMAZON--BNE1</t>
  </si>
  <si>
    <t>BWU2</t>
  </si>
  <si>
    <t>13 Emporium Avenue 2178 - Kemps Creek, NSW - Australia</t>
  </si>
  <si>
    <t>NSW</t>
  </si>
  <si>
    <t>Kemps Creek</t>
  </si>
  <si>
    <t>2178</t>
  </si>
  <si>
    <t>Amazon-BWU2</t>
  </si>
  <si>
    <t>ZAZ1</t>
  </si>
  <si>
    <t>Plataforma Logística de Zaragoza,ALI-28 y ALI-2</t>
  </si>
  <si>
    <t>Zaragoza</t>
  </si>
  <si>
    <t>50197</t>
  </si>
  <si>
    <t>Amazon (ZAZ1)</t>
  </si>
  <si>
    <t>Amazon Fulfillment Center ZAZ1</t>
  </si>
  <si>
    <t>YEG2</t>
  </si>
  <si>
    <t>27383 92 Ave Acheson, AB T7X 2X2 CA</t>
  </si>
  <si>
    <t>Acheson</t>
  </si>
  <si>
    <t>T7X2X2</t>
  </si>
  <si>
    <t>Amazon-YEG2</t>
  </si>
  <si>
    <t>BWU1</t>
  </si>
  <si>
    <t>23 Centenary Ave Moorebank, NSW 2170</t>
  </si>
  <si>
    <t>Moorebank</t>
  </si>
  <si>
    <t>2170</t>
  </si>
  <si>
    <t>Amazon-BWU1</t>
  </si>
  <si>
    <t>VGT2</t>
  </si>
  <si>
    <t>6401 Howdy Wells Ave LAS VEGAS, NV 89115-2013 United States</t>
  </si>
  <si>
    <t>89115-2013</t>
  </si>
  <si>
    <t>AMAZON-VGT2</t>
  </si>
  <si>
    <t>XUKA</t>
  </si>
  <si>
    <t>Whitehouse Industrial Estate, Aston Lane North Preston Brook Runcorn</t>
  </si>
  <si>
    <t>Cheshire</t>
  </si>
  <si>
    <t>WA7 3BN</t>
  </si>
  <si>
    <t>Amazon (XUKA)</t>
  </si>
  <si>
    <t>Amazon Fulfillment Center XUKA</t>
  </si>
  <si>
    <t>XUKS</t>
  </si>
  <si>
    <t>CEVA Logistics Unit 11, Wilders Way</t>
  </si>
  <si>
    <t>Kegworth</t>
  </si>
  <si>
    <t>DE74 2XL</t>
  </si>
  <si>
    <t>Amazon (XUKS)</t>
  </si>
  <si>
    <t>Amazon Fulfillment Center (XUKS)</t>
  </si>
  <si>
    <t>000 000 000</t>
  </si>
  <si>
    <t>MEL1</t>
  </si>
  <si>
    <t>29 National Drive Dandenong South, VIC 3175 AU</t>
  </si>
  <si>
    <t>VIC</t>
  </si>
  <si>
    <t>Dandenong South</t>
  </si>
  <si>
    <t>3175</t>
  </si>
  <si>
    <t>Amazon-MEL1</t>
  </si>
  <si>
    <t>CHO1</t>
  </si>
  <si>
    <t>32 TRADER RD 22939-2437 - FISHERSVILLE, VA - United States</t>
  </si>
  <si>
    <t>FISHERSVILLE</t>
  </si>
  <si>
    <t>22939-2437</t>
  </si>
  <si>
    <t>Amazon CHO1</t>
  </si>
  <si>
    <t>Amazon Fulfillment Center  CHO1</t>
  </si>
  <si>
    <t>SBD3</t>
  </si>
  <si>
    <t>5990 N Cajon Blvd SAN BERNARDINO, CA 92407-1833 US</t>
  </si>
  <si>
    <t>92407-1833</t>
  </si>
  <si>
    <t>AMAZON-SBD3</t>
  </si>
  <si>
    <t>MEL5</t>
  </si>
  <si>
    <t>103 Palm Springs Road RAVENHALL, VIC 3023</t>
  </si>
  <si>
    <t>RAVENHALL</t>
  </si>
  <si>
    <t>3023</t>
  </si>
  <si>
    <t>AMAZON-MEL5</t>
  </si>
  <si>
    <t>XLX7</t>
  </si>
  <si>
    <t>18580 GATEWAY DR 92394 - VICTORVILLE, CA - United States</t>
  </si>
  <si>
    <t>VICTORVILLE</t>
  </si>
  <si>
    <t>92394</t>
  </si>
  <si>
    <t>AMAZON-XLX7</t>
  </si>
  <si>
    <t>MDT4</t>
  </si>
  <si>
    <t>5125 Commerce Drive  YORK, PA 17408  US</t>
  </si>
  <si>
    <t>YORK</t>
  </si>
  <si>
    <t>17408</t>
  </si>
  <si>
    <t>AMAZON- MDT4</t>
  </si>
  <si>
    <t>AKR1</t>
  </si>
  <si>
    <t>4747 Rebar Ave NE   CANTON, OH 44705     US</t>
  </si>
  <si>
    <t>CANTON</t>
  </si>
  <si>
    <t>44705</t>
  </si>
  <si>
    <t>AMAZON- AKR1</t>
  </si>
  <si>
    <t>KTW3</t>
  </si>
  <si>
    <t>80 Bojkowska</t>
  </si>
  <si>
    <t>Gliwice</t>
  </si>
  <si>
    <t>44-141</t>
  </si>
  <si>
    <t>Amzon-KTW3</t>
  </si>
  <si>
    <t>000000000</t>
  </si>
  <si>
    <t>AMA1</t>
  </si>
  <si>
    <t>8590 NE 24th Avenue 79108-7749 - AMARILLO, TX - United States</t>
  </si>
  <si>
    <t>AMARILLO</t>
  </si>
  <si>
    <t>79108-7749</t>
  </si>
  <si>
    <t>AMAZON-AMA1</t>
  </si>
  <si>
    <t>AU-PER3</t>
  </si>
  <si>
    <t>AFTX FC (Perth, AU)60 Paltridge Road PERTH AIRPORT, WA 6105 AU</t>
  </si>
  <si>
    <t>PERTH AIRPORT</t>
  </si>
  <si>
    <t>6105</t>
  </si>
  <si>
    <t>AMAZON-AU-PER3</t>
  </si>
  <si>
    <t>DEN7</t>
  </si>
  <si>
    <t>22300 E 26th Avenue 80019-3609 - AURORA, CO - United States</t>
  </si>
  <si>
    <t>AMAZON-DEN7</t>
  </si>
  <si>
    <t>XFRN</t>
  </si>
  <si>
    <t>7 rue des Quatres Routes Geodis St Quentin Fallavier, Auvergne-Rhone-Alpes 38070 FR</t>
  </si>
  <si>
    <t>ST QUENTIN FALLAVIER</t>
  </si>
  <si>
    <t>38070</t>
  </si>
  <si>
    <t>Amazon XFRN</t>
  </si>
  <si>
    <t>Amazon Fulfillment Center XFRN</t>
  </si>
  <si>
    <t>BFL2</t>
  </si>
  <si>
    <t>4500 EXPRESS AVE</t>
  </si>
  <si>
    <t>SHAFTER</t>
  </si>
  <si>
    <t>93263-2246</t>
  </si>
  <si>
    <t>Amazon-BFL2</t>
  </si>
  <si>
    <t>LIL8</t>
  </si>
  <si>
    <t>Rue de la Plaine 1710, Lauwin-Planque, 59553, France</t>
  </si>
  <si>
    <t>Lauwin-Planque</t>
  </si>
  <si>
    <t>59553</t>
  </si>
  <si>
    <t>Amazon（LIL8）</t>
  </si>
  <si>
    <t>YXU1</t>
  </si>
  <si>
    <t>11884 Sunset Rd</t>
  </si>
  <si>
    <t>St Thomas</t>
  </si>
  <si>
    <t>N5P 0G9</t>
  </si>
  <si>
    <t>AMAZON-YXU1</t>
  </si>
  <si>
    <t>PER4</t>
  </si>
  <si>
    <t>Site 516 2 Centurion Pl Jandakot, WA 6164 AU</t>
  </si>
  <si>
    <t>Jandakot</t>
  </si>
  <si>
    <t>6164</t>
  </si>
  <si>
    <t>AMAZON-PER4</t>
  </si>
  <si>
    <t>SWF2</t>
  </si>
  <si>
    <t>76 Patriot Way 12533-6159 - Hopewell Junction, NY - United States</t>
  </si>
  <si>
    <t>Hopewell Junction</t>
  </si>
  <si>
    <t>12533</t>
  </si>
  <si>
    <t>Amazon-SWF2</t>
  </si>
  <si>
    <t>MHG9</t>
  </si>
  <si>
    <t>Ossenheimer Straße 7</t>
  </si>
  <si>
    <t>Bavaria</t>
  </si>
  <si>
    <t>Kleinostheim</t>
  </si>
  <si>
    <t>63801</t>
  </si>
  <si>
    <t>Amazon Fulfilment Center MHG9</t>
  </si>
  <si>
    <t>SCK8</t>
  </si>
  <si>
    <t>4700 WILBUR AVE 94561-2677 - OAKLEY, CA- United States</t>
  </si>
  <si>
    <t>OAKLEY</t>
  </si>
  <si>
    <t>94561-2677</t>
  </si>
  <si>
    <t>AMAZON-SCK8</t>
  </si>
  <si>
    <t>YYC6</t>
  </si>
  <si>
    <t>9705 68 St SE,Calgary,AB,T2C 5V8  Canada</t>
  </si>
  <si>
    <t>T2C 5V8</t>
  </si>
  <si>
    <t>YYC6-Amazon</t>
  </si>
  <si>
    <t>IAH3</t>
  </si>
  <si>
    <t>15525 Milner Rd, Houston, TX 77032</t>
  </si>
  <si>
    <t>77032</t>
  </si>
  <si>
    <t>AMAZON-IAH3</t>
  </si>
  <si>
    <t>XCAB</t>
  </si>
  <si>
    <t>1882 118th Avenue NE Calgary, AB T3K 0R1</t>
  </si>
  <si>
    <t>T3K 0R1</t>
  </si>
  <si>
    <t>AMAZON-XCAB</t>
  </si>
  <si>
    <t>XDEA</t>
  </si>
  <si>
    <t>Industriegebiet Niederlehme Robert-Guthmann-Str. 30</t>
  </si>
  <si>
    <t>Koenigs Wusterhausen</t>
  </si>
  <si>
    <t>Brandenburg</t>
  </si>
  <si>
    <t>15713</t>
  </si>
  <si>
    <t>FBA</t>
  </si>
  <si>
    <t>AAAA</t>
  </si>
  <si>
    <t>Amazon Fulfillment Center, Zur Alten</t>
  </si>
  <si>
    <t>Amazon AAAA</t>
  </si>
  <si>
    <t>Amazon Fulfillment</t>
  </si>
  <si>
    <t>SCK3</t>
  </si>
  <si>
    <t>3565 N AIRPORT WAY 95336-8696 - MANTECA, CA - United States</t>
  </si>
  <si>
    <t>MANTECA</t>
  </si>
  <si>
    <t>95336-8696</t>
  </si>
  <si>
    <t>Amazon-SCK3</t>
  </si>
  <si>
    <t>MCI3</t>
  </si>
  <si>
    <t>2361 S. Withers Road LIBERTY, MO 64068</t>
  </si>
  <si>
    <t>LIBERTY</t>
  </si>
  <si>
    <t>64068</t>
  </si>
  <si>
    <t>AMAZON-MCI3</t>
  </si>
  <si>
    <t>RFD2</t>
  </si>
  <si>
    <t>11500 Freeman Road 60142 - HUNTLEY, IL - United States</t>
  </si>
  <si>
    <t>HUNTLEY,</t>
  </si>
  <si>
    <t>60142</t>
  </si>
  <si>
    <t>AMAZON-RFD2</t>
  </si>
  <si>
    <t>RDU2</t>
  </si>
  <si>
    <t>2150 US HWY 70 Business West 27577 - SMITHFIELD, NC</t>
  </si>
  <si>
    <t>SMITHFIELD</t>
  </si>
  <si>
    <t>27577</t>
  </si>
  <si>
    <t>AMAZON-RDU2</t>
  </si>
  <si>
    <t>YGK1</t>
  </si>
  <si>
    <t>640 COLLEGE ST E BELLEVILLE, ON K8N 0V2</t>
  </si>
  <si>
    <t>BELLEVILLE</t>
  </si>
  <si>
    <t>K8N 0V2</t>
  </si>
  <si>
    <t>Amazon Canada Fulfillment Services, ULC</t>
  </si>
  <si>
    <t>XLX6</t>
  </si>
  <si>
    <t>12220 Carolina Logistics Drive 28134 - PINEVILLE, NC - United States</t>
  </si>
  <si>
    <t>PINEVILLE</t>
  </si>
  <si>
    <t>28134</t>
  </si>
  <si>
    <t>Amazon</t>
  </si>
  <si>
    <t>MAD4</t>
  </si>
  <si>
    <t>Av. Astronomía, 24, 28830 San Fernando de Henares, Madrid, Spain</t>
  </si>
  <si>
    <t>San Fernando de Henares</t>
  </si>
  <si>
    <t>28830</t>
  </si>
  <si>
    <t>MGE1</t>
  </si>
  <si>
    <t>650 Broadway Avenue</t>
  </si>
  <si>
    <t>Braselton</t>
  </si>
  <si>
    <t>30517-3002</t>
  </si>
  <si>
    <t>Amazon-MGE1</t>
  </si>
  <si>
    <t>XLX1</t>
  </si>
  <si>
    <t>1115 Wesel Blvd 21740-8126 - HAGERSTOWN, MD - United States</t>
  </si>
  <si>
    <t>HAGERSTOWN</t>
  </si>
  <si>
    <t>21740-8126</t>
  </si>
  <si>
    <t>YYC4</t>
  </si>
  <si>
    <t>6635 106 AVE SE T2C 5X1 - CALGARY, AB - Canada</t>
  </si>
  <si>
    <t>CALGARY</t>
  </si>
  <si>
    <t>T2C 5X1</t>
  </si>
  <si>
    <t>XPO1-04758</t>
  </si>
  <si>
    <t>RMN3</t>
  </si>
  <si>
    <t>220 Centreport Parkway 22406 - FREDERICKSBURG, VA - United States</t>
  </si>
  <si>
    <t>FREDERICKSBURG</t>
  </si>
  <si>
    <t>22406</t>
  </si>
  <si>
    <t>Amazon-RMN3</t>
  </si>
  <si>
    <t>XGEB</t>
  </si>
  <si>
    <t>Geodis AMXL 3PL (Aurach, DE)Steinauer Weg 7bGeodisAurach, Bavaria 91589DE</t>
  </si>
  <si>
    <t>Aurach</t>
  </si>
  <si>
    <t>91589</t>
  </si>
  <si>
    <t>Amazon Fulfilment Center XGEB</t>
  </si>
  <si>
    <t>NCL2</t>
  </si>
  <si>
    <t>Wynyard, Stockton-on-Tees,</t>
  </si>
  <si>
    <t>Billingham</t>
  </si>
  <si>
    <t>TS22 5TH</t>
  </si>
  <si>
    <t>Amazon(NCL2)</t>
  </si>
  <si>
    <t>Amazon Fulfillment Center(NCL2)</t>
  </si>
  <si>
    <t>EMA4</t>
  </si>
  <si>
    <t>24 WHITMOOR DRIVE, MINWORTH</t>
  </si>
  <si>
    <t>SUTTON COLDFIELD</t>
  </si>
  <si>
    <t>B76 9AH</t>
  </si>
  <si>
    <t>Amazon(EMA4)</t>
  </si>
  <si>
    <t>Amazon Fulfillment Center(EMA4)</t>
  </si>
  <si>
    <t>HOU7</t>
  </si>
  <si>
    <t>16225 TOMBALL PKWY BLDG A 77064-1111 - HOUSTON, TX - United States</t>
  </si>
  <si>
    <t>HOUSTON</t>
  </si>
  <si>
    <t>77064</t>
  </si>
  <si>
    <t>AMAZON-HOU7</t>
  </si>
  <si>
    <t>XPLC</t>
  </si>
  <si>
    <t>Am Zeugamt 6, Oschatz, Saxony 04758, DE</t>
  </si>
  <si>
    <t>IBV3</t>
  </si>
  <si>
    <t>1710 Rue de la Plaine Lauwin-Planque, France, Haut de france 59553 FR</t>
  </si>
  <si>
    <t>XPO1-PL</t>
  </si>
  <si>
    <t>Nowa Niedrzwica 58 66-340 Przytoczna, Gmina Przytoczna Poland</t>
  </si>
  <si>
    <t>Przytoczna</t>
  </si>
  <si>
    <t>66-340</t>
  </si>
  <si>
    <t>ID Logistics Poland</t>
  </si>
  <si>
    <t>XOR4</t>
  </si>
  <si>
    <t>370 rue des Gaulois 80470 - St Sauveur, Hauts de France</t>
  </si>
  <si>
    <t>St Sauveur</t>
  </si>
  <si>
    <t>80470</t>
  </si>
  <si>
    <t>PDX6</t>
  </si>
  <si>
    <t>15000 N. Lombard St,Portland,OR,97203-6814,US</t>
  </si>
  <si>
    <t>Portland</t>
  </si>
  <si>
    <t>97203-6814</t>
  </si>
  <si>
    <t>MEM8</t>
  </si>
  <si>
    <t>850 GATEWAY GLOBAL DR,BYHALIA,MS,38611-6040,US</t>
  </si>
  <si>
    <t>MS</t>
  </si>
  <si>
    <t>BYHALIA</t>
  </si>
  <si>
    <t>38611-6040</t>
  </si>
  <si>
    <t>RFD4</t>
  </si>
  <si>
    <t>11400 Venture Court,HUNTLEY,IL,60142,US</t>
  </si>
  <si>
    <t>HUNTLEY</t>
  </si>
  <si>
    <t>AZA4</t>
  </si>
  <si>
    <t>3333 S 59TH AVE,PHOENIX,AZ,85043-7904,US</t>
  </si>
  <si>
    <t>85043-7904</t>
  </si>
  <si>
    <t>HGR2</t>
  </si>
  <si>
    <t>1115 WESEL BLVD,HAGERSTOWN,MD,21740-8126,US</t>
  </si>
  <si>
    <t>HAGERSTOWN,</t>
  </si>
  <si>
    <t>Amazon-HGR2</t>
  </si>
  <si>
    <t>RDU4</t>
  </si>
  <si>
    <t>6309 Bragg Blvd 28303 - FAYETTEVILLE, NC - United States</t>
  </si>
  <si>
    <t>FAYETTEVILLE</t>
  </si>
  <si>
    <t>28303</t>
  </si>
  <si>
    <t>Amazon-RDU4</t>
  </si>
  <si>
    <t>YDC5</t>
  </si>
  <si>
    <t>6351 STEELES AVE E M1X 1N5 - SCARBOROUGH, ON - Canada</t>
  </si>
  <si>
    <t>SCARBOROUGH</t>
  </si>
  <si>
    <t>M1X 1N5</t>
  </si>
  <si>
    <t>Amazon-C-YDC5</t>
  </si>
  <si>
    <t>LBE1</t>
  </si>
  <si>
    <t>165 GLENN FOX RD 15672-9703 - NEW STANTON, PA - United States</t>
  </si>
  <si>
    <t>NEW STANTON</t>
  </si>
  <si>
    <t>15672-9703</t>
  </si>
  <si>
    <t>Amazon-LBE1</t>
  </si>
  <si>
    <t>LAN2</t>
  </si>
  <si>
    <t>6500 W Mt Hope Hwy 48917 - LANSING, MI - United States</t>
  </si>
  <si>
    <t>LANSING</t>
  </si>
  <si>
    <t>48917</t>
  </si>
  <si>
    <t>Amazon-LAN2</t>
  </si>
  <si>
    <t>PSC2</t>
  </si>
  <si>
    <t>1351 S Road 40 E 99301 - PASCO, WA - United States</t>
  </si>
  <si>
    <t>PASCO</t>
  </si>
  <si>
    <t>99301</t>
  </si>
  <si>
    <t>Amazon-PSC2</t>
  </si>
  <si>
    <t>ABQ2</t>
  </si>
  <si>
    <t>6251 Pioneer Trail NW 87031 - LOS LUNAS, NM - United States</t>
  </si>
  <si>
    <t>NM</t>
  </si>
  <si>
    <t>LOS LUNAS</t>
  </si>
  <si>
    <t>87031</t>
  </si>
  <si>
    <t>Amazon-ABQ2</t>
  </si>
  <si>
    <t>FCO5</t>
  </si>
  <si>
    <t>di Valle Caia snc   Ardea   Rome   00040</t>
  </si>
  <si>
    <t>Lazio</t>
  </si>
  <si>
    <t>Roma</t>
  </si>
  <si>
    <t>00040</t>
  </si>
  <si>
    <t>0000</t>
  </si>
  <si>
    <t>STL6</t>
  </si>
  <si>
    <t>3931 Lakeview Corporate Drive, Edwardsville, IL，62025</t>
  </si>
  <si>
    <t>Amazon-STL6</t>
  </si>
  <si>
    <t>CLT6</t>
  </si>
  <si>
    <t>12220 Carolina Logistics Dr, Pineville, NC, 28134</t>
  </si>
  <si>
    <t>Pineville</t>
  </si>
  <si>
    <t>Amazon-CLT6</t>
  </si>
  <si>
    <t>BDL6</t>
  </si>
  <si>
    <t>120 County Line Drive, Cromwell, CT, 06416</t>
  </si>
  <si>
    <t>Cromwell</t>
  </si>
  <si>
    <t>06416</t>
  </si>
  <si>
    <t>Amazon - BDL6</t>
  </si>
  <si>
    <t>BNA6</t>
  </si>
  <si>
    <t>3875 GUTHRIE HWY 37040-5502 - CLARKSVILLE, TN - United States</t>
  </si>
  <si>
    <t>CLARKSVILLE</t>
  </si>
  <si>
    <t>37040-5502</t>
  </si>
  <si>
    <t>AMAZON-BNA6</t>
  </si>
  <si>
    <t>DTM9</t>
  </si>
  <si>
    <t>Brauckstraße 30</t>
  </si>
  <si>
    <t>Westfalen</t>
  </si>
  <si>
    <t>Witten</t>
  </si>
  <si>
    <t>58454</t>
  </si>
  <si>
    <t>Amazon SZ NRW GmbH</t>
  </si>
  <si>
    <t>LBA8</t>
  </si>
  <si>
    <t>Unit 3, Logic Leeds Skelton Moor Way</t>
  </si>
  <si>
    <t>Leeds</t>
  </si>
  <si>
    <t>LS15 0BF</t>
  </si>
  <si>
    <t>Amazon （LBA8）</t>
  </si>
  <si>
    <t>Amazon Services LBA8/IMN1</t>
  </si>
  <si>
    <t>WBW2</t>
  </si>
  <si>
    <t>1300 Corporate Way OLYPHANT，PA 18447</t>
  </si>
  <si>
    <t>OLYPHANT</t>
  </si>
  <si>
    <t>18447</t>
  </si>
  <si>
    <t>TMB8</t>
  </si>
  <si>
    <t>27505 SW 132nd AVE 33032-8597 - HOMESTEAD, FL - United States</t>
  </si>
  <si>
    <t>HOMESTEAD</t>
  </si>
  <si>
    <t>33032</t>
  </si>
  <si>
    <t>AVP9</t>
  </si>
  <si>
    <t>45 VALLEY VIEW DR JESSUP, PA 18434-1153</t>
  </si>
  <si>
    <t>JESSUP</t>
  </si>
  <si>
    <t>18434</t>
  </si>
  <si>
    <t>PBI3</t>
  </si>
  <si>
    <t>7600 LTC Parkway 34986 - PORT SAINT LUCIE, FL - United States</t>
  </si>
  <si>
    <t>PORT SAINT LUCIE</t>
  </si>
  <si>
    <t>34986</t>
  </si>
  <si>
    <t>CMH6</t>
  </si>
  <si>
    <t>3538 Trade ort Ct Lockbourne OH 43137</t>
  </si>
  <si>
    <t>Lockbourne</t>
  </si>
  <si>
    <t>43137</t>
  </si>
  <si>
    <t>RYY2</t>
  </si>
  <si>
    <t>RYY2 - 1250 Cassville White Road 30184 - White, GA - United States</t>
  </si>
  <si>
    <t>White</t>
  </si>
  <si>
    <t>30184</t>
  </si>
  <si>
    <t>HIA1</t>
  </si>
  <si>
    <t>3327 E Harrisburg Pik PA,MIDDLETOWN,17057</t>
  </si>
  <si>
    <t>MIDDLETOWN</t>
  </si>
  <si>
    <t>17057</t>
  </si>
  <si>
    <t>HGR6</t>
  </si>
  <si>
    <t>55 West Oak Ridge Drive 21740-7301-HAGERSTOWN.MD-United States</t>
  </si>
  <si>
    <t>21740-7301</t>
  </si>
  <si>
    <t>BRE2</t>
  </si>
  <si>
    <t>Vechtaer Str. 35 Gebaudenummer 207</t>
  </si>
  <si>
    <t>Großenkneten</t>
  </si>
  <si>
    <t>26197</t>
  </si>
  <si>
    <t>BRQ2</t>
  </si>
  <si>
    <t>1511 Padlých hrdinů</t>
  </si>
  <si>
    <t>Kojetin</t>
  </si>
  <si>
    <t>752 01</t>
  </si>
  <si>
    <t>NUE1</t>
  </si>
  <si>
    <t>Amazonstraße 1</t>
  </si>
  <si>
    <t>Gattendor</t>
  </si>
  <si>
    <t>95185</t>
  </si>
  <si>
    <t>MIT2</t>
  </si>
  <si>
    <t>5408 Express Avenue SHAFTER, CA 93263</t>
  </si>
  <si>
    <t>93263</t>
  </si>
  <si>
    <t>Amazon.com Services LLC</t>
  </si>
  <si>
    <t>GEU3</t>
  </si>
  <si>
    <t>18900 W McDowell Road 85396-BUCKEYE,AZ- United States</t>
  </si>
  <si>
    <t>BUCKEYE</t>
  </si>
  <si>
    <t>85396</t>
  </si>
  <si>
    <t>TRN3</t>
  </si>
  <si>
    <t>Amazon EU SARL - TRN3 Str. John Fitzgerald Kennedy,  Alessandria, Piedmont, Italy</t>
  </si>
  <si>
    <t>Alessandria</t>
  </si>
  <si>
    <t>15122</t>
  </si>
  <si>
    <t>Amzon TRN3</t>
  </si>
  <si>
    <t>KTW5</t>
  </si>
  <si>
    <t>Am Zeugamt 6 Oschatz,</t>
  </si>
  <si>
    <t>Amazon (KTW5)</t>
  </si>
  <si>
    <t>Amazon Fulfilment Center KTW5 via: Slam Poland Sp. z o.o.</t>
  </si>
  <si>
    <t>XFR4</t>
  </si>
  <si>
    <t>Mittelweserpark Brakenhof 20/24 Estorf</t>
  </si>
  <si>
    <t>31629</t>
  </si>
  <si>
    <t>KSF7</t>
  </si>
  <si>
    <t>Otto-Hahn-Strasse 3</t>
  </si>
  <si>
    <t>Wolfhagen</t>
  </si>
  <si>
    <t>34466</t>
  </si>
  <si>
    <t>QXY5</t>
  </si>
  <si>
    <t>4532 NEWCASTLE RD 95215-9465 - STOCKTON, CA - United States</t>
  </si>
  <si>
    <t>95215-9465</t>
  </si>
  <si>
    <t>JOT1</t>
  </si>
  <si>
    <t>1494 S WATERMAN AVE 92408 - SAN BERNARDINO, CA - United States</t>
  </si>
  <si>
    <t>HSV2</t>
  </si>
  <si>
    <t>28869 Fanning Dr NW 35756</t>
  </si>
  <si>
    <t>35756</t>
  </si>
  <si>
    <t>00000</t>
  </si>
  <si>
    <t>KDE9</t>
  </si>
  <si>
    <t>Pforzheim</t>
  </si>
  <si>
    <t>75177</t>
  </si>
  <si>
    <t>Amazon Pforzheim GmbH</t>
  </si>
  <si>
    <t>POZ1</t>
  </si>
  <si>
    <t>ul. Poznanska 1d</t>
  </si>
  <si>
    <t>Sady</t>
  </si>
  <si>
    <t>62-080</t>
  </si>
  <si>
    <t>Amazon Fulfillment Poland sp. z o.o.</t>
  </si>
  <si>
    <t>DE-POZ2</t>
  </si>
  <si>
    <t>Finsterwalder Transport und Logistik GmbH Schieferstraße 16</t>
  </si>
  <si>
    <t>Halle</t>
  </si>
  <si>
    <t>06126</t>
  </si>
  <si>
    <t>Amazon Fulfilment Center</t>
  </si>
  <si>
    <t>SZZ1-06126</t>
  </si>
  <si>
    <t>DE-POZ1</t>
  </si>
  <si>
    <t>DE-WRO2</t>
  </si>
  <si>
    <t>TPA6</t>
  </si>
  <si>
    <t>3400 NW 35th Ave Rd, Ocala, FL 34475</t>
  </si>
  <si>
    <t>Ocala</t>
  </si>
  <si>
    <t>34475</t>
  </si>
  <si>
    <t>GEU2</t>
  </si>
  <si>
    <t>15301 West Northern Avenue Glendale, AZ 85307</t>
  </si>
  <si>
    <t>Glendale</t>
  </si>
  <si>
    <t>85307</t>
  </si>
  <si>
    <t>RLG1</t>
  </si>
  <si>
    <t>Gewerbepark Ostsee 3</t>
  </si>
  <si>
    <t>Dummerstorf</t>
  </si>
  <si>
    <t>18196</t>
  </si>
  <si>
    <t>Amazon Dummerstorf GmbH</t>
  </si>
  <si>
    <t>DTM3</t>
  </si>
  <si>
    <t>Warmbreitbandstraße 3</t>
  </si>
  <si>
    <t>Amazon Logistik Dortmund GmbH</t>
  </si>
  <si>
    <t>PBI2</t>
  </si>
  <si>
    <t>14490 Corporate Rd N, Jupiter, FL 33478</t>
  </si>
  <si>
    <t>Jupiter</t>
  </si>
  <si>
    <t>33478</t>
  </si>
  <si>
    <t>AMAZON-PBI2</t>
  </si>
  <si>
    <t>UFL2</t>
  </si>
  <si>
    <t>101 NE 23rd St, Miami, FL 33137</t>
  </si>
  <si>
    <t>Miami</t>
  </si>
  <si>
    <t>33137</t>
  </si>
  <si>
    <t>AMAZON-UFL2</t>
  </si>
  <si>
    <t>UFL4</t>
  </si>
  <si>
    <t>7469 Kingspointe Pkwy, Orlando, FL 32819</t>
  </si>
  <si>
    <t>Orlando</t>
  </si>
  <si>
    <t>32819</t>
  </si>
  <si>
    <t>AMAZON-UFL4</t>
  </si>
  <si>
    <t>UFL5</t>
  </si>
  <si>
    <t>4769 Oak Fair Blvd, Tampa, FL 33610</t>
  </si>
  <si>
    <t>Tampa</t>
  </si>
  <si>
    <t>33610</t>
  </si>
  <si>
    <t>AMAZON-UFL5</t>
  </si>
  <si>
    <t>UFL6</t>
  </si>
  <si>
    <t>6715 NW 36th St, Miami, FL 33166</t>
  </si>
  <si>
    <t>33166</t>
  </si>
  <si>
    <t>AMAZON-UFL6</t>
  </si>
  <si>
    <t>PL-KTW5</t>
  </si>
  <si>
    <t>ul. Wilkowiec 4 Gorzyczki</t>
  </si>
  <si>
    <t>Slaskie</t>
  </si>
  <si>
    <t>44-350</t>
  </si>
  <si>
    <t>BWU6</t>
  </si>
  <si>
    <t>5 Johnston Crescent HORSLEY PARK, NSW 2175</t>
  </si>
  <si>
    <t>悉尼</t>
  </si>
  <si>
    <t>2175</t>
  </si>
  <si>
    <t>AU (BWU6)</t>
  </si>
  <si>
    <t>亚马逊</t>
  </si>
  <si>
    <t>00-00</t>
  </si>
  <si>
    <t>MQJ2</t>
  </si>
  <si>
    <t>19 BOB GLIDDEN BLVD WHITELAND, IN 46184-9108</t>
  </si>
  <si>
    <t>WHITELAND,</t>
  </si>
  <si>
    <t>46184</t>
  </si>
  <si>
    <t>XRI3</t>
  </si>
  <si>
    <t>4949 Commerce Rd 23234-RICHMOND VA-United States</t>
  </si>
  <si>
    <t>23234</t>
  </si>
  <si>
    <t>POC1</t>
  </si>
  <si>
    <t>4121 LYTLE CREEK RD</t>
  </si>
  <si>
    <t>92336-1123</t>
  </si>
  <si>
    <t>Amazon POC1</t>
  </si>
  <si>
    <t>Amazon Fulfillment Center POC1</t>
  </si>
  <si>
    <t>POC3</t>
  </si>
  <si>
    <t>6120 Clinker Drive 92509-JURUPA VALLEY, CA 92509</t>
  </si>
  <si>
    <t>JURUPA VALLEY</t>
  </si>
  <si>
    <t>92509</t>
  </si>
  <si>
    <t>HLI2</t>
  </si>
  <si>
    <t>600 Ernie Drive 95023-HOLLISTER,CA- United states</t>
  </si>
  <si>
    <t>HOLLISTER</t>
  </si>
  <si>
    <t>95023</t>
  </si>
  <si>
    <t>TCY2</t>
  </si>
  <si>
    <t>6201 Newcastle Rd 95215-STOCKTON</t>
  </si>
  <si>
    <t>Amazon Fulfillment Center TCY2</t>
  </si>
  <si>
    <t>TCY1</t>
  </si>
  <si>
    <t>2690 East Arch Airport Road 95206</t>
  </si>
  <si>
    <t>95206</t>
  </si>
  <si>
    <t>Amazon TCY1</t>
  </si>
  <si>
    <t>Amazon Fulfillment Center TCY1</t>
  </si>
  <si>
    <t>PL-LCJ2</t>
  </si>
  <si>
    <t>Pawlikowice 155 Pabianice</t>
  </si>
  <si>
    <t>voivodeship</t>
  </si>
  <si>
    <t>Lodzkie</t>
  </si>
  <si>
    <t>95-200</t>
  </si>
  <si>
    <t>SCN2</t>
  </si>
  <si>
    <t>Von-Miller-StraBe 24</t>
  </si>
  <si>
    <t>DUS4</t>
  </si>
  <si>
    <t>Hamburgring 10，Monchengladbach</t>
  </si>
  <si>
    <t>Rheindahlen</t>
  </si>
  <si>
    <t>41179</t>
  </si>
  <si>
    <t>XFR7</t>
  </si>
  <si>
    <t>Oggenhauser Hauptstrasse 151 89522</t>
  </si>
  <si>
    <t>Baden Wurttemberg</t>
  </si>
  <si>
    <t>Heidenheim an der Brenz</t>
  </si>
  <si>
    <t>XAU1</t>
  </si>
  <si>
    <t>5 Darrabarra Avenue, Kemps CreekNSW2178(</t>
  </si>
  <si>
    <t>Amazon XAU1</t>
  </si>
  <si>
    <t>MSP6</t>
  </si>
  <si>
    <t>9800 217TH ST W 55044-5076</t>
  </si>
  <si>
    <t>LAKEVILLE</t>
  </si>
  <si>
    <t>55044-5076</t>
  </si>
  <si>
    <t>Amazon  MSP6</t>
  </si>
  <si>
    <t>Amazon Fulfillment Center  MSP6</t>
  </si>
  <si>
    <t>CMH7</t>
  </si>
  <si>
    <t>1245 BEECH RD SW 43054-7762 - NEW ALBANY, OH - United States</t>
  </si>
  <si>
    <t>NEW ALBANY</t>
  </si>
  <si>
    <t>43054-7762</t>
  </si>
  <si>
    <t>Amazon(CMH7)</t>
  </si>
  <si>
    <t>Amazon Fulfillment Center(CMH7)</t>
  </si>
  <si>
    <t>BFI9</t>
  </si>
  <si>
    <t>3230 INTERNATIONAL PL 98327-7707 - DUPONT, WA - United States</t>
  </si>
  <si>
    <t>DUPONT</t>
  </si>
  <si>
    <t>98327-7707</t>
  </si>
  <si>
    <t>Amazon BFI9</t>
  </si>
  <si>
    <t>Amazon Fulfillment Center  BFI9</t>
  </si>
  <si>
    <t>MEM2</t>
  </si>
  <si>
    <t>91 NORFOLK SOUTHERN WAY 38611-2306</t>
  </si>
  <si>
    <t>38611-2306</t>
  </si>
  <si>
    <t>Amazon Fulfillment Center MEM2</t>
  </si>
  <si>
    <t>POC2</t>
  </si>
  <si>
    <t>4000 S PRIME PASEO 91761 - ONTARIO, CA - United States</t>
  </si>
  <si>
    <t>Ontario</t>
  </si>
  <si>
    <t>91761</t>
  </si>
  <si>
    <t>XEW5</t>
  </si>
  <si>
    <t>995 Taylors Ln 08077-2015 - Cinnaminson, NJ - United States</t>
  </si>
  <si>
    <t>Cinnaminson</t>
  </si>
  <si>
    <t>08077-2015</t>
  </si>
  <si>
    <t>Amazon  XEW5</t>
  </si>
  <si>
    <t>Amazon Fulfillment Center  XEW5</t>
  </si>
  <si>
    <t>DTW3</t>
  </si>
  <si>
    <t>33701 PRESCOTT ST ROMULUS, MI 48174-9760</t>
  </si>
  <si>
    <t>48174-9760</t>
  </si>
  <si>
    <t>Amazon  DTW3</t>
  </si>
  <si>
    <t>Amazon Fulfillment Center  DTW3</t>
  </si>
  <si>
    <t>XAV3</t>
  </si>
  <si>
    <t>120 Crossgate Dr 31407 - Port Wentworth, GA - United States</t>
  </si>
  <si>
    <t>Port Wentworth</t>
  </si>
  <si>
    <t>31407</t>
  </si>
  <si>
    <t>WRO5-02977</t>
  </si>
  <si>
    <t>Nardter Weg 2.</t>
  </si>
  <si>
    <t>Hoyerswerda</t>
  </si>
  <si>
    <t>02977</t>
  </si>
  <si>
    <t>Amazon Fulfilment Center WRO5</t>
  </si>
  <si>
    <t>HEA2</t>
  </si>
  <si>
    <t>650 BOULDER DR Suite A 18031-1536 - BREINIGSVILLE, PA - United States</t>
  </si>
  <si>
    <t>BREINIGSVILLE</t>
  </si>
  <si>
    <t>AVV2</t>
  </si>
  <si>
    <t>95 Whitfield Boulevard, Cranbourne West 3977 VIC</t>
  </si>
  <si>
    <t>Cranbourne</t>
  </si>
  <si>
    <t>3977</t>
  </si>
  <si>
    <t>AMAZON-AVV2</t>
  </si>
  <si>
    <t>AMAZON-1</t>
  </si>
  <si>
    <t>XPB2</t>
  </si>
  <si>
    <t>4661 Apopka Logistics Pkwy 32712 - Apopka, FL - United States</t>
  </si>
  <si>
    <t>Apopka</t>
  </si>
  <si>
    <t>32712</t>
  </si>
  <si>
    <t>Amazon  XPB2</t>
  </si>
  <si>
    <t>Amazon Fulfillment Center  XPB2</t>
  </si>
  <si>
    <t>XBW3</t>
  </si>
  <si>
    <t>19 Giba Drive 2178 - KEMPS CREEK, NSW - Australia</t>
  </si>
  <si>
    <t>KEMPS CREEK</t>
  </si>
  <si>
    <t>AMAZON123</t>
  </si>
  <si>
    <t>QXY8</t>
  </si>
  <si>
    <t>3611 S NORTHPOINTE DR 93725-1962 - FRESNO, CA - United States</t>
  </si>
  <si>
    <t>93725-1962</t>
  </si>
  <si>
    <t>XYY1</t>
  </si>
  <si>
    <t>221 Church St S L1S 0A1 - Ajax, ON - Canada</t>
  </si>
  <si>
    <t>Ajax</t>
  </si>
  <si>
    <t>L1S 0A1</t>
  </si>
  <si>
    <t>Amazon XYY1</t>
  </si>
  <si>
    <t>XBH9</t>
  </si>
  <si>
    <t>Panattoni Park Avonmouth, Bristol</t>
  </si>
  <si>
    <t>BS10 7SD</t>
  </si>
  <si>
    <t>00000013570869410</t>
  </si>
  <si>
    <t>XDU5</t>
  </si>
  <si>
    <t>AFTX TNS，Steinmuhle 1，Logistikpark Diemelstadt，Diemelstadt</t>
  </si>
  <si>
    <t>Diemelstadt</t>
  </si>
  <si>
    <t>34474</t>
  </si>
  <si>
    <t>LBA5</t>
  </si>
  <si>
    <t>Gateway 45 Aire Valley Rd LEEDS LS9 0PS</t>
  </si>
  <si>
    <t>LEEDS</t>
  </si>
  <si>
    <t>LS9 0PS</t>
  </si>
  <si>
    <t>DSA6</t>
  </si>
  <si>
    <t>AMAZON EU SARL UK BRANCH New Market Lane</t>
  </si>
  <si>
    <t>Wakefield</t>
  </si>
  <si>
    <t>LS26 9DN</t>
  </si>
  <si>
    <t>XCD2</t>
  </si>
  <si>
    <t>Parc dActivites des Pierres Blanches, Hauts-de-France</t>
  </si>
  <si>
    <t>Denain</t>
  </si>
  <si>
    <t>59220</t>
  </si>
  <si>
    <t>Amazon XCD2</t>
  </si>
  <si>
    <t>MCC1</t>
  </si>
  <si>
    <t>3300 Rancho Cordova Pkwy 95742 - RANCHO CORDOVA, CA - United States</t>
  </si>
  <si>
    <t>RANCHO CORDOVA</t>
  </si>
  <si>
    <t>95742</t>
  </si>
  <si>
    <t>POZ2</t>
  </si>
  <si>
    <t>Chociule 100</t>
  </si>
  <si>
    <t>Chociule</t>
  </si>
  <si>
    <t>66-200</t>
  </si>
  <si>
    <t>SZZ1-02977</t>
  </si>
  <si>
    <t>Nardter Weg 2</t>
  </si>
  <si>
    <t>Amazon SZZ1</t>
  </si>
  <si>
    <t>SLC3</t>
  </si>
  <si>
    <t>355 N JOHN GLENN RD 84116-4413 - SALT LAKE CITY, UT - United States</t>
  </si>
  <si>
    <t>SALT LAKE CITY</t>
  </si>
  <si>
    <t>84116-4413</t>
  </si>
  <si>
    <t>Amazon Fulfillment Center SLC3</t>
  </si>
  <si>
    <t>XLI4</t>
  </si>
  <si>
    <t>XLI4 - AFTX IXD (Epinoy, FR) 1 Av. du Superbe Orenoque</t>
  </si>
  <si>
    <t>Boves</t>
  </si>
  <si>
    <t>80440</t>
  </si>
  <si>
    <t>PSP3</t>
  </si>
  <si>
    <t>64165 19th AVE 92240- DESERT HOT SPRINGS, CA  United states</t>
  </si>
  <si>
    <t>DESERT HOT SPRINGS,</t>
  </si>
  <si>
    <t>92240</t>
  </si>
  <si>
    <t>Amazon  PSP3</t>
  </si>
  <si>
    <t>Amazon Fulfillment Center PSP3</t>
  </si>
  <si>
    <t>TYS5</t>
  </si>
  <si>
    <t>210 Partnership Parkway MARYVILLE, TN 37801 United States</t>
  </si>
  <si>
    <t>MARYVILLE</t>
  </si>
  <si>
    <t>37801</t>
  </si>
  <si>
    <t>Amazon  TYS5</t>
  </si>
  <si>
    <t>Amazon Fulfillment Center  TYS5</t>
  </si>
  <si>
    <t>XAU6</t>
  </si>
  <si>
    <t>82A Noosa Street Heathwood, 4110，QLD</t>
  </si>
  <si>
    <t>Heathwood</t>
  </si>
  <si>
    <t>4110</t>
  </si>
  <si>
    <t>AMAZON(XAU6)</t>
  </si>
  <si>
    <t>XME6</t>
  </si>
  <si>
    <t>3P AFTX FC 32 Titan Drive 3064 Mickleham VIC</t>
  </si>
  <si>
    <t>Mickleham</t>
  </si>
  <si>
    <t>3064</t>
  </si>
  <si>
    <t>AFT7</t>
  </si>
  <si>
    <t>Meltonwest Business Park Melton Melton west, Hull, Yorkshire HU14 3HB</t>
  </si>
  <si>
    <t>HU14 3HB</t>
  </si>
  <si>
    <t>Amazon EU Sarl</t>
  </si>
  <si>
    <t>XFRL</t>
  </si>
  <si>
    <t>50 Bd de l'Europe 77380 - Combs-la-Ville, Île-de-France - France</t>
  </si>
  <si>
    <t>11111</t>
  </si>
  <si>
    <t>XITF</t>
  </si>
  <si>
    <t>Strada della Torre della Razza, 62 29100 - Piacenza, Le mose - Italy</t>
  </si>
  <si>
    <t>Piacenza, Le mose</t>
  </si>
  <si>
    <t>29100</t>
  </si>
  <si>
    <t>1111</t>
  </si>
  <si>
    <t>XFR9</t>
  </si>
  <si>
    <t>Hungener Str. 66  Lich, Hesse 35423</t>
  </si>
  <si>
    <t>35423</t>
  </si>
  <si>
    <t>00</t>
  </si>
  <si>
    <t>XSY2</t>
  </si>
  <si>
    <t>10 Buda Way 2178 - Kemps Creek, NSW - Australia</t>
  </si>
  <si>
    <t>TOL3</t>
  </si>
  <si>
    <t>9240 Fremont Pike 43551-4210 - PERRYSBURG, OH - United States</t>
  </si>
  <si>
    <t>PERRYSBURG</t>
  </si>
  <si>
    <t>43551</t>
  </si>
  <si>
    <t>亚马逊TOL3</t>
  </si>
  <si>
    <t>XFK1</t>
  </si>
  <si>
    <t>Goodyearstrasse 1Philippsburg, Baden-Wurttemberg 76661</t>
  </si>
  <si>
    <t>Philippsburg</t>
  </si>
  <si>
    <t>76661</t>
  </si>
  <si>
    <t>11</t>
  </si>
  <si>
    <t>111111</t>
  </si>
  <si>
    <t>QZZ7</t>
  </si>
  <si>
    <t>8560 E ELLIOT RD MESA, AZ 85212-9608</t>
  </si>
  <si>
    <t>MESA</t>
  </si>
  <si>
    <t>85212</t>
  </si>
  <si>
    <t>XSE6</t>
  </si>
  <si>
    <t>Building S440 Panattoni Park Barge Way ME10 2XG - Sittingbourne, South East England - United Kingdom</t>
  </si>
  <si>
    <t>South East England</t>
  </si>
  <si>
    <t>Sittingbourne</t>
  </si>
  <si>
    <t>ME10 2XG</t>
  </si>
  <si>
    <t>Amazon(XSE6)</t>
  </si>
  <si>
    <t>Amazon Fulfillment Center(XSE6)</t>
  </si>
  <si>
    <t>MCI4</t>
  </si>
  <si>
    <t>10501 NW 136th Street 64163 - KANSAS CITY, MO - United States</t>
  </si>
  <si>
    <t>KANSAS CITY</t>
  </si>
  <si>
    <t>64163</t>
  </si>
  <si>
    <t>Amazon  MCI4</t>
  </si>
  <si>
    <t>Amazon Fulfillment Center  MCI4</t>
  </si>
  <si>
    <t>XYY4</t>
  </si>
  <si>
    <t>XYY4 - 3P FC 10725 Louis St Laurent Ave Milton, ON L9E 0E9 CA</t>
  </si>
  <si>
    <t>1</t>
  </si>
  <si>
    <t>POZ1-02977</t>
  </si>
  <si>
    <t>Slam Poland Sp. z o.o. Nardter Weg 2</t>
  </si>
  <si>
    <t>XLDA</t>
  </si>
  <si>
    <t>Dhl Logistics Gmbh AMXL 3PL (Unna, DE) Giesserstrasse 8 Unna, North Rhine-Westphalia 59425</t>
  </si>
  <si>
    <t>Unna</t>
  </si>
  <si>
    <t>59425</t>
  </si>
  <si>
    <t>FBA卫星仓</t>
  </si>
  <si>
    <t>IUSL</t>
  </si>
  <si>
    <t>600 PRINCIPIO PKWY W 21901-2914 - NORTH EAST, MD</t>
  </si>
  <si>
    <t>NORTH EAST</t>
  </si>
  <si>
    <t>21901-2914</t>
  </si>
  <si>
    <t>IUSL-AWD</t>
  </si>
  <si>
    <t>AMAZON-AWD</t>
  </si>
  <si>
    <t>IUSJ</t>
  </si>
  <si>
    <t>36900 West 4th Street, BEAUMONT, CA, 92223 ,US</t>
  </si>
  <si>
    <t>IUSQ</t>
  </si>
  <si>
    <t>2125 W San Bernardino Ave 92374 - REDLANDS, CA - United States</t>
  </si>
  <si>
    <t>REDLANDS</t>
  </si>
  <si>
    <t>IUSF</t>
  </si>
  <si>
    <t>3351 Balmorhea Dr. 75241 - DALLAS, TX - United States</t>
  </si>
  <si>
    <t>DALLAS</t>
  </si>
  <si>
    <t>IUSP</t>
  </si>
  <si>
    <t>8140 Caliente Rd 92344 - HESPERIA, CA - United States</t>
  </si>
  <si>
    <t>HESPERIA</t>
  </si>
  <si>
    <t>92344</t>
  </si>
  <si>
    <t>AMAZON-IUSP</t>
  </si>
  <si>
    <t>IUST</t>
  </si>
  <si>
    <t>15651 Greenmount Rd GREENCASTLE</t>
  </si>
  <si>
    <t>GREENCASTLE</t>
  </si>
  <si>
    <t>17225</t>
  </si>
  <si>
    <t>Amazon IUST</t>
  </si>
  <si>
    <t>Amazon Fulfillment Center IUST</t>
  </si>
  <si>
    <t>IUSR</t>
  </si>
  <si>
    <t>1120 Mt Olive Rd 29330-COWPENS. SC- United States</t>
  </si>
  <si>
    <t>COWPENS</t>
  </si>
  <si>
    <t>29330</t>
  </si>
  <si>
    <t>IUTI</t>
  </si>
  <si>
    <t>1901 California St REDLANDS CA, 92374-5015 US</t>
  </si>
  <si>
    <t>92374-5015</t>
  </si>
  <si>
    <t>Amazon  IUTI</t>
  </si>
  <si>
    <t>Amazon Fulfillment Center  IUTI</t>
  </si>
  <si>
    <t>IUSW</t>
  </si>
  <si>
    <t>8130 Caliente Rd 92344 - Hesperia, CA</t>
  </si>
  <si>
    <t>Hesperia</t>
  </si>
  <si>
    <t>AMAZON-IUSW</t>
  </si>
  <si>
    <t>IUTE</t>
  </si>
  <si>
    <t>16155 W Elwood St 85338 - GOODYEAR, AZ - United States</t>
  </si>
  <si>
    <t>AMAZON-IUTE</t>
  </si>
  <si>
    <t>WAL仓</t>
  </si>
  <si>
    <t>W-LAX2</t>
  </si>
  <si>
    <t>6750 Kimball Ave</t>
  </si>
  <si>
    <t>Chino</t>
  </si>
  <si>
    <t>91708</t>
  </si>
  <si>
    <t>Walmart-LAX2</t>
  </si>
  <si>
    <t>W-SMF1</t>
  </si>
  <si>
    <t>7000 Powerline Rd</t>
  </si>
  <si>
    <t>Sacramento</t>
  </si>
  <si>
    <t>95837</t>
  </si>
  <si>
    <t>Walmart-SMF1</t>
  </si>
  <si>
    <t>W-PHX1</t>
  </si>
  <si>
    <t>6600 N Sarival Ave</t>
  </si>
  <si>
    <t>Litchfield Park</t>
  </si>
  <si>
    <t>85340</t>
  </si>
  <si>
    <t>Walmart-PHX1</t>
  </si>
  <si>
    <t>W-KS1</t>
  </si>
  <si>
    <t>30801 W 191ST ST</t>
  </si>
  <si>
    <t>EDGERTON</t>
  </si>
  <si>
    <t>66021</t>
  </si>
  <si>
    <t>Walmart-KS1</t>
  </si>
  <si>
    <t>W-IND1</t>
  </si>
  <si>
    <t>9590 All Points Court Plainfield</t>
  </si>
  <si>
    <t>Walmart-IND1</t>
  </si>
  <si>
    <t>W-IND2</t>
  </si>
  <si>
    <t>9360 All Points Parkway Plainfield</t>
  </si>
  <si>
    <t>Walmart-IND2</t>
  </si>
  <si>
    <t>W-KY1</t>
  </si>
  <si>
    <t>120 Velocity Way Shepherdsville, KY</t>
  </si>
  <si>
    <t>Walmart-KY1</t>
  </si>
  <si>
    <t>W-MCO1</t>
  </si>
  <si>
    <t>5100 North Ridge Trail Davenport</t>
  </si>
  <si>
    <t>Davenport</t>
  </si>
  <si>
    <t>33897</t>
  </si>
  <si>
    <t>Walmart-MCO1</t>
  </si>
  <si>
    <t>W-LAX1</t>
  </si>
  <si>
    <t>Walmart-LAX1</t>
  </si>
  <si>
    <t>W-MCI1n</t>
  </si>
  <si>
    <t>1303 Sw Innovation Pkway,Topeka, KS</t>
  </si>
  <si>
    <t>Topeka</t>
  </si>
  <si>
    <t>66619</t>
  </si>
  <si>
    <t>Walmart-MCI1n</t>
  </si>
  <si>
    <t>W-ATL2</t>
  </si>
  <si>
    <t>3101N.Highway27 Carrollton,GA</t>
  </si>
  <si>
    <t>Carrollton</t>
  </si>
  <si>
    <t>30117</t>
  </si>
  <si>
    <t>Walmart-ATL2</t>
  </si>
  <si>
    <t>W-ATL3</t>
  </si>
  <si>
    <t>445Valentine Industrial Parkway Pendergrass, GA</t>
  </si>
  <si>
    <t>Pendergrass</t>
  </si>
  <si>
    <t>30567</t>
  </si>
  <si>
    <t>Walmart-ATL3</t>
  </si>
  <si>
    <t>W-PHL2</t>
  </si>
  <si>
    <t>2785 Commerce Center Blvd Bethlehem,PA</t>
  </si>
  <si>
    <t>Bethlehem</t>
  </si>
  <si>
    <t>18015</t>
  </si>
  <si>
    <t>Walmart-PHL2</t>
  </si>
  <si>
    <t>W-NJ3</t>
  </si>
  <si>
    <t>3Sorbello Way Pedricktown,NJ</t>
  </si>
  <si>
    <t>Pedricktown</t>
  </si>
  <si>
    <t>08067</t>
  </si>
  <si>
    <t>Walmart-NJ3</t>
  </si>
  <si>
    <t>W-MEM1s</t>
  </si>
  <si>
    <t>10480 MARINA DRIVE OLIVE BRANCH MS,38654</t>
  </si>
  <si>
    <t>OLIVE BRANCH</t>
  </si>
  <si>
    <t>38654</t>
  </si>
  <si>
    <t>Walmart-MEM1s</t>
  </si>
  <si>
    <t>W-LAX2T</t>
  </si>
  <si>
    <t>6730 Kimball Ave, Chino, CA, 91708</t>
  </si>
  <si>
    <t>Walmart-LAX2T</t>
  </si>
  <si>
    <t>W-IND3</t>
  </si>
  <si>
    <t>5756 Enterprise Dr, Mccordsville, IN 46055, US</t>
  </si>
  <si>
    <t>Mccordsville</t>
  </si>
  <si>
    <t>46055</t>
  </si>
  <si>
    <t>WALMART-IND3</t>
  </si>
  <si>
    <t>WALMART</t>
  </si>
  <si>
    <t>W-SMF1n</t>
  </si>
  <si>
    <t>7000 Powerline Rd, Sacramento, CA 95837, US</t>
  </si>
  <si>
    <t>WALMART-SMF1n</t>
  </si>
  <si>
    <t>W-LAX2n</t>
  </si>
  <si>
    <t>6730 Kimball Ave , Chino, CA 91708, US</t>
  </si>
  <si>
    <t>Walmart-LAX2n</t>
  </si>
  <si>
    <t>W-PHL4n</t>
  </si>
  <si>
    <t>1410 United Dr, Shippensburg, PA 17257, US</t>
  </si>
  <si>
    <t>Shippensburg</t>
  </si>
  <si>
    <t>17257</t>
  </si>
  <si>
    <t>Walmart</t>
  </si>
  <si>
    <t>W-IND2n</t>
  </si>
  <si>
    <t>9360 AllPoints Pkwy. Suite 107, Plainfield, IN 46168, US</t>
  </si>
  <si>
    <t>W-ATL1</t>
  </si>
  <si>
    <t>ATL1 | 6055 S Fulton Pkwy, Atlanta, GA 30349, US</t>
  </si>
  <si>
    <t>30349</t>
  </si>
  <si>
    <t>W-ORD1s</t>
  </si>
  <si>
    <t>ORD1s | 3501 Brandon Road, Joliet, IL 60436, US</t>
  </si>
  <si>
    <t>60436,</t>
  </si>
  <si>
    <t>W-PHL5s</t>
  </si>
  <si>
    <t>1915 Ebberts Spg Ct, Greencastle, PA 17225</t>
  </si>
  <si>
    <t>Greencastle</t>
  </si>
  <si>
    <t>W-DFW2n</t>
  </si>
  <si>
    <t>15101 N Beach ST, Fort Worth, TX 76177</t>
  </si>
  <si>
    <t>W-PHL1s</t>
  </si>
  <si>
    <t>3215 Commerce Center Blvd, Bethlehem, PA 18015</t>
  </si>
  <si>
    <t>W-DFW6s</t>
  </si>
  <si>
    <t>14700 BLUE MOUND RD FORT WORTH</t>
  </si>
  <si>
    <t>76052</t>
  </si>
  <si>
    <t>Walmart-DFW6s</t>
  </si>
  <si>
    <t>W-DFW5s</t>
  </si>
  <si>
    <t>2500 E Belt Line Rd</t>
  </si>
  <si>
    <t>Lancaster</t>
  </si>
  <si>
    <t>75146</t>
  </si>
  <si>
    <t>W-NJ3T</t>
  </si>
  <si>
    <t>7 SORBELLO RD</t>
  </si>
  <si>
    <t>PEDRICKTOWN</t>
  </si>
  <si>
    <t>Walmart-NJ3T</t>
  </si>
  <si>
    <t>W-SLC1n</t>
  </si>
  <si>
    <t>990 N 6550 W, Salt Lake City</t>
  </si>
  <si>
    <t>Salt Lake City</t>
  </si>
  <si>
    <t>84116</t>
  </si>
  <si>
    <t>Walmart-SLC1n</t>
  </si>
  <si>
    <t>W-IND2T</t>
  </si>
  <si>
    <t>9360 AllPoints Pkwy.Suite162,Plainfield,IN,46168</t>
  </si>
  <si>
    <t>Walmart-IND2T</t>
  </si>
  <si>
    <t>W-ATL2n</t>
  </si>
  <si>
    <t>3101 N. Highway 27,Carrollton,GA,US,30117</t>
  </si>
  <si>
    <t>Walmart-ATL2n</t>
  </si>
  <si>
    <t>W-BNA1n</t>
  </si>
  <si>
    <t>1015 Hixson Blvd, Lebanon, TN 37090</t>
  </si>
  <si>
    <t>Walmart-BNA1n</t>
  </si>
  <si>
    <t>W-MCL1n</t>
  </si>
  <si>
    <t>1303 Sw Innovation Pkway,Topeka,Ks</t>
  </si>
  <si>
    <t>WPLA16</t>
  </si>
  <si>
    <t>WPLA16:1979 Renaissance Pkwy, Rialto, CA 92376</t>
  </si>
  <si>
    <t>92376</t>
  </si>
  <si>
    <t>909-616-8219</t>
  </si>
  <si>
    <t>WPPA2</t>
  </si>
  <si>
    <t>WPPA2：3363 Gun Club Rd</t>
  </si>
  <si>
    <t>Nazareth</t>
  </si>
  <si>
    <t>18064</t>
  </si>
  <si>
    <t>909-726-9571</t>
  </si>
  <si>
    <t>嘀仓海外仓</t>
  </si>
  <si>
    <t>DC-LAX16</t>
  </si>
  <si>
    <t>620 South Hacienda Blvd dock#7</t>
  </si>
  <si>
    <t>CITY OF INDUSTRY</t>
  </si>
  <si>
    <t>91745</t>
  </si>
  <si>
    <t>DDD620</t>
  </si>
  <si>
    <t>DICANG-SZX16</t>
  </si>
  <si>
    <t>6265902525</t>
  </si>
  <si>
    <t>DC-SZX18</t>
  </si>
  <si>
    <t>Montel-Allee 3,</t>
  </si>
  <si>
    <t>Nettetal</t>
  </si>
  <si>
    <t>41334</t>
  </si>
  <si>
    <t>Mr Zhou.</t>
  </si>
  <si>
    <t>SK express + DTD2</t>
  </si>
  <si>
    <t>015792620600</t>
  </si>
  <si>
    <t>NL</t>
  </si>
  <si>
    <t>DC-VNO01</t>
  </si>
  <si>
    <t>荷兰</t>
  </si>
  <si>
    <t>Celsiusweg 66</t>
  </si>
  <si>
    <t>Venlo</t>
  </si>
  <si>
    <t>5928 PR</t>
  </si>
  <si>
    <t>LILY-RE002</t>
  </si>
  <si>
    <t>OUYA INTERNATIONAL B.V.</t>
  </si>
  <si>
    <t>+31(0) 77 303 1094</t>
  </si>
  <si>
    <t>DDD-ZC-UK</t>
  </si>
  <si>
    <t>Unit 7, Port One Logistics Park, Addison way, Great Blakenham</t>
  </si>
  <si>
    <t>Great Blakenham</t>
  </si>
  <si>
    <t>IP6 0FL</t>
  </si>
  <si>
    <t>Wilvin</t>
  </si>
  <si>
    <t>4PL+DDD</t>
  </si>
  <si>
    <t>01473970985</t>
  </si>
  <si>
    <t>DDD-ZC-DE</t>
  </si>
  <si>
    <t>Rheinstraße 30</t>
  </si>
  <si>
    <t>Mülheim an der Ruhr</t>
  </si>
  <si>
    <t>45478</t>
  </si>
  <si>
    <t>susanne</t>
  </si>
  <si>
    <t>WONDERCO</t>
  </si>
  <si>
    <t>017697326466</t>
  </si>
  <si>
    <t>DC-DUS02</t>
  </si>
  <si>
    <t>Industriestraße 10</t>
  </si>
  <si>
    <t>Schwalmtal</t>
  </si>
  <si>
    <t>41366</t>
  </si>
  <si>
    <t>Feiyue Han</t>
  </si>
  <si>
    <t>Radtec logistics GmbH</t>
  </si>
  <si>
    <t>+49 155 60726345</t>
  </si>
  <si>
    <t>DC-DEFRA</t>
  </si>
  <si>
    <t>An der Altnah 1</t>
  </si>
  <si>
    <t>Langenlonsheim</t>
  </si>
  <si>
    <t>55450</t>
  </si>
  <si>
    <t>Chen yan</t>
  </si>
  <si>
    <t>SK Express DTD2</t>
  </si>
  <si>
    <t>015207098999</t>
  </si>
  <si>
    <t>DC-DEBVB</t>
  </si>
  <si>
    <t>Up'n Nien Esch 26-34,</t>
  </si>
  <si>
    <t>Greven</t>
  </si>
  <si>
    <t>48268</t>
  </si>
  <si>
    <t>DC-GBX001</t>
  </si>
  <si>
    <t>Rumworth Mill, GR Delivery,(access from) Adelaide Street</t>
  </si>
  <si>
    <t>BL3 3PR</t>
  </si>
  <si>
    <t>A5102  Voyage Brother</t>
  </si>
  <si>
    <t>Rumworth Mill</t>
  </si>
  <si>
    <t>07469204040</t>
  </si>
  <si>
    <t>DC-FRX001</t>
  </si>
  <si>
    <t>1020 rue de la gare</t>
  </si>
  <si>
    <t>CHEVRIERES</t>
  </si>
  <si>
    <t>60710</t>
  </si>
  <si>
    <t>SK express+60789</t>
  </si>
  <si>
    <t>0033 678203005</t>
  </si>
  <si>
    <t>DC-SKF2</t>
  </si>
  <si>
    <t>Emanuel-Merck-Str. 13,</t>
  </si>
  <si>
    <t>Gernsheim</t>
  </si>
  <si>
    <t>64579</t>
  </si>
  <si>
    <t>SK Express+DTD2</t>
  </si>
  <si>
    <t>SK Express</t>
  </si>
  <si>
    <t>+49 201 61795826</t>
  </si>
  <si>
    <t>DC-JFK3</t>
  </si>
  <si>
    <t>865 Newark Ave（送仓需要邮件预约）</t>
  </si>
  <si>
    <t>Elizabeth</t>
  </si>
  <si>
    <t>07208</t>
  </si>
  <si>
    <t>Peter + DADIDA</t>
  </si>
  <si>
    <t>UGD Logistic</t>
  </si>
  <si>
    <t>+1 (646) 907-2553</t>
  </si>
  <si>
    <t>DC-BKM01</t>
  </si>
  <si>
    <t>Emilie-Winkelmann-Straße 1</t>
  </si>
  <si>
    <t>Bergkamen</t>
  </si>
  <si>
    <t>59192</t>
  </si>
  <si>
    <t>Long</t>
  </si>
  <si>
    <t>EURO PAI</t>
  </si>
  <si>
    <t>+ 0049 2389 9256501</t>
  </si>
  <si>
    <t>DC-DTX1</t>
  </si>
  <si>
    <t>411 Cravens Rd</t>
  </si>
  <si>
    <t>Ste 100  Missouri CIty</t>
  </si>
  <si>
    <t>77489</t>
  </si>
  <si>
    <t>Ethan</t>
  </si>
  <si>
    <t>Bizto</t>
  </si>
  <si>
    <t>8322807668</t>
  </si>
  <si>
    <t>DC-ITK01</t>
  </si>
  <si>
    <t>Via Giuseppe Verdi 7</t>
  </si>
  <si>
    <t>MILANO</t>
  </si>
  <si>
    <t>turbigo</t>
  </si>
  <si>
    <t>20029</t>
  </si>
  <si>
    <t>MASSIMO HU</t>
  </si>
  <si>
    <t>SK-60789</t>
  </si>
  <si>
    <t>380 1060876</t>
  </si>
  <si>
    <t>DC-BHX01</t>
  </si>
  <si>
    <t>Walter-Gropius-Straße 19b</t>
  </si>
  <si>
    <t>Bergheim</t>
  </si>
  <si>
    <t>50126</t>
  </si>
  <si>
    <t>TOSOS-DDD01</t>
  </si>
  <si>
    <t>Hermwin logistic</t>
  </si>
  <si>
    <t>DC-GBK01</t>
  </si>
  <si>
    <t>Unit 2, Tungsten Park，Bardon Road,</t>
  </si>
  <si>
    <t>Coalville</t>
  </si>
  <si>
    <t>LE67 4BL</t>
  </si>
  <si>
    <t>SKUK-Hiro</t>
  </si>
  <si>
    <t>SK Express +60789</t>
  </si>
  <si>
    <t>07474964531</t>
  </si>
  <si>
    <t>DC-SZX18D2</t>
  </si>
  <si>
    <t>Up'n Nien Esch, 26-34</t>
  </si>
  <si>
    <t>SK EXPRESS DTD2</t>
  </si>
  <si>
    <t>DC-	SKFD3</t>
  </si>
  <si>
    <t>Zum Schleusenpark 7</t>
  </si>
  <si>
    <t>Datteln</t>
  </si>
  <si>
    <t>45711</t>
  </si>
  <si>
    <t>DDD-TH-UK</t>
  </si>
  <si>
    <t>DDD-TH-FR</t>
  </si>
  <si>
    <t>Mitry DC9，sis à 8, rue Jean Mermoz,  Zac de la Feuchère, 77290 Mitry Compans</t>
  </si>
  <si>
    <t>Mitry Compans</t>
  </si>
  <si>
    <t>77290</t>
  </si>
  <si>
    <t>Jones Frederic</t>
  </si>
  <si>
    <t>Mylink+DDD</t>
  </si>
  <si>
    <t>33 1 55 85 84 95</t>
  </si>
  <si>
    <t>DDD-TH-DE</t>
  </si>
  <si>
    <t>Pulsaria UG Ringbahnstraße 4, 41460 Neuss，Germany</t>
  </si>
  <si>
    <t>Neuss</t>
  </si>
  <si>
    <t>41460</t>
  </si>
  <si>
    <t>Yun Chao</t>
  </si>
  <si>
    <t>DFSJ+DDD</t>
  </si>
  <si>
    <t>004917660884434</t>
  </si>
  <si>
    <t>DC-IPS01</t>
  </si>
  <si>
    <t>Unit 7, Addison Way</t>
  </si>
  <si>
    <t>Ipswich</t>
  </si>
  <si>
    <t>4PLINKS+DDD</t>
  </si>
  <si>
    <t>DC-WDC1</t>
  </si>
  <si>
    <t>Rheinstraße 30 Door24</t>
  </si>
  <si>
    <t>WonderCo-DDD</t>
  </si>
  <si>
    <t>4917662473856</t>
  </si>
  <si>
    <t>DC-FR-FMC1</t>
  </si>
  <si>
    <t>BAT Meaux 2, QUAI 9, 2 Rue Alexandre Becquerel</t>
  </si>
  <si>
    <t>Villenoy</t>
  </si>
  <si>
    <t>77124</t>
  </si>
  <si>
    <t>SK</t>
  </si>
  <si>
    <t>DC-LAX01</t>
  </si>
  <si>
    <t>1745 Chapin Rd,</t>
  </si>
  <si>
    <t>Montebello</t>
  </si>
  <si>
    <t>90640</t>
  </si>
  <si>
    <t>TNAL-A254</t>
  </si>
  <si>
    <t>BM</t>
  </si>
  <si>
    <t>6269414283</t>
  </si>
  <si>
    <t>海外仓</t>
  </si>
  <si>
    <t>DDDD</t>
  </si>
  <si>
    <t>Felix-Wankel-Straße 4/1</t>
  </si>
  <si>
    <t>Ostfildern</t>
  </si>
  <si>
    <t>73760</t>
  </si>
  <si>
    <t>tingting Du</t>
  </si>
  <si>
    <t>00491628888510</t>
  </si>
  <si>
    <t>FFFF</t>
  </si>
  <si>
    <t>ececd xipost mpay unit2 Crown Road, Kings  Norton Business Centre Birmingham, B30 3HY United Kingdom</t>
  </si>
  <si>
    <t>B30 3HY</t>
  </si>
  <si>
    <t>01214333666</t>
  </si>
  <si>
    <t>谷仓-WV11 3DS</t>
  </si>
  <si>
    <t>C/O Unit 3 Pantheon Park, Wednesfield Way</t>
  </si>
  <si>
    <t>Wolverhampton</t>
  </si>
  <si>
    <t>Willenhall</t>
  </si>
  <si>
    <t>WV11 3DS</t>
  </si>
  <si>
    <t>Good Cang</t>
  </si>
  <si>
    <t>谷仓-WV11 3DR</t>
  </si>
  <si>
    <t>C/O Unit 83 Pantheon Park, Wednesfield way</t>
  </si>
  <si>
    <t>WV11 3DR</t>
  </si>
  <si>
    <t>谷仓-WS11 8LD</t>
  </si>
  <si>
    <t>C/O Connet 153, Blakeney Way, Kingswood Lakeside</t>
  </si>
  <si>
    <t>Cannock</t>
  </si>
  <si>
    <t>WS11 8LD</t>
  </si>
  <si>
    <t>谷仓-WS11 1SL</t>
  </si>
  <si>
    <t>C/O Jupiter,Unit 1 Watling Street, Kingswood Lakeside</t>
  </si>
  <si>
    <t>WS11 1SL</t>
  </si>
  <si>
    <t>谷仓-WR4 0SZ</t>
  </si>
  <si>
    <t>C/O Unit A Roundhouse Way</t>
  </si>
  <si>
    <t>Worcestershire</t>
  </si>
  <si>
    <t>Worcester</t>
  </si>
  <si>
    <t>WR4 0SZ</t>
  </si>
  <si>
    <t>谷仓-WS13 8NQ</t>
  </si>
  <si>
    <t>C/O UNIT 1 COMMON LANE,FRADLEY PARK</t>
  </si>
  <si>
    <t>STAFFORDSHIRE</t>
  </si>
  <si>
    <t>LICHFIELD</t>
  </si>
  <si>
    <t>WS13 8NQ</t>
  </si>
  <si>
    <t>谷仓-WR4 0AD</t>
  </si>
  <si>
    <t>C/O Unit 3, Six Business Park Coneybury Road</t>
  </si>
  <si>
    <t>WR4 0AD</t>
  </si>
  <si>
    <t>万邑通-LE67 1LD</t>
  </si>
  <si>
    <t>Unit 73 Interlink Way West, Interlink Business Park, Bardon Hill</t>
  </si>
  <si>
    <t>LE67 1LD</t>
  </si>
  <si>
    <t>Winit (UK) Limited</t>
  </si>
  <si>
    <t>万邑通-LE3 8DX</t>
  </si>
  <si>
    <t>Mill Lane Industrial Estate, The Mill Ln, Glenfield</t>
  </si>
  <si>
    <t>LE3 8DX</t>
  </si>
  <si>
    <t>万邑通-B78 2FG</t>
  </si>
  <si>
    <t>C/O Unit 5, St Modwen Park Tamworth, Signet Way</t>
  </si>
  <si>
    <t>B78 2FG</t>
  </si>
  <si>
    <t>橙联仓-LE19 4DB</t>
  </si>
  <si>
    <t>Unit 1, Commercial Park, 335 Leicester Lane</t>
  </si>
  <si>
    <t>Enderby</t>
  </si>
  <si>
    <t>LE19 4DB</t>
  </si>
  <si>
    <t>Orange Connex Fulfillment Centre – UK03</t>
  </si>
  <si>
    <t>橙联仓-WS8 7DG</t>
  </si>
  <si>
    <t>Unit 30, Maybrook Industrial Estate, Maybrook Road</t>
  </si>
  <si>
    <t>Brownhills</t>
  </si>
  <si>
    <t>WS8 7DG</t>
  </si>
  <si>
    <t>Orange Connex Fulfillment Centre – UK02</t>
  </si>
  <si>
    <t>橙联仓-CV21 1PR</t>
  </si>
  <si>
    <t>Mill Road，Rugby</t>
  </si>
  <si>
    <t>Rugby</t>
  </si>
  <si>
    <t>CV21 1PR</t>
  </si>
  <si>
    <t>Orange Connex Fulfillment Centre – UK04</t>
  </si>
  <si>
    <t>递四方-LU5 4RZ</t>
  </si>
  <si>
    <t>Dunstable Unit-2 Prologis Park Arenson Way</t>
  </si>
  <si>
    <t>Dunstable</t>
  </si>
  <si>
    <t>LU5 4RZ</t>
  </si>
  <si>
    <t>4PX</t>
  </si>
  <si>
    <t>WTGJ-DE73760</t>
  </si>
  <si>
    <t>Felix-Wankel-Str. 4/1,Ostfildern,Baden-Württemberg</t>
  </si>
  <si>
    <t>baaafb</t>
  </si>
  <si>
    <t>Xipost GmbH</t>
  </si>
  <si>
    <t>071578869995</t>
  </si>
  <si>
    <t>DDD-ZC-FR</t>
  </si>
  <si>
    <t>LTF SOLUTION，2 Rue Nicolas Copernic</t>
  </si>
  <si>
    <t>Le Blanc-Mesnil</t>
  </si>
  <si>
    <t>93150</t>
  </si>
  <si>
    <t>BIN</t>
  </si>
  <si>
    <t>OULALA-France</t>
  </si>
  <si>
    <t>DDD-ZC-IT</t>
  </si>
  <si>
    <t>0039 3933808888</t>
  </si>
  <si>
    <t>DDD-ZC-ES</t>
  </si>
  <si>
    <t>0034-625 131 535</t>
  </si>
  <si>
    <t>GC-25261</t>
  </si>
  <si>
    <t>C/O Logicor Park Prague Airport U Trati 216, HALA 3. T3.</t>
  </si>
  <si>
    <t>DOBROVÍZ</t>
  </si>
  <si>
    <t>goodcang</t>
  </si>
  <si>
    <t>4PX-66340</t>
  </si>
  <si>
    <t>Nowa Niedrzwica 58，Gate 41-42</t>
  </si>
  <si>
    <t>Rokitno</t>
  </si>
  <si>
    <t>4px</t>
  </si>
  <si>
    <t>Allegro-05825</t>
  </si>
  <si>
    <t>Adamów 50, 05-825 Adamów</t>
  </si>
  <si>
    <t>Adamów</t>
  </si>
  <si>
    <t>05-825</t>
  </si>
  <si>
    <t>Allegro</t>
  </si>
  <si>
    <t>SHEIN-55040</t>
  </si>
  <si>
    <t>Dolnośląskie Wrocław PNT ul. Inwestycyjna 1</t>
  </si>
  <si>
    <t>Magnice</t>
  </si>
  <si>
    <t>SHEIN-PNTB</t>
  </si>
  <si>
    <t>QX-05825</t>
  </si>
  <si>
    <t>CHRZANOWSKA 7 39（H-I） GRODZISK MAZOWIECKI</t>
  </si>
  <si>
    <t>Grodzisk Mazowiecki</t>
  </si>
  <si>
    <t>QX BOX</t>
  </si>
  <si>
    <t>4PX-25261</t>
  </si>
  <si>
    <t>Lidická 498, 252 61 Jeneč</t>
  </si>
  <si>
    <t>Jeneč</t>
  </si>
  <si>
    <t>252 61</t>
  </si>
  <si>
    <t>DDD-ZZ-UK</t>
  </si>
  <si>
    <t>Essex</t>
  </si>
  <si>
    <t>CM8 3UN</t>
  </si>
  <si>
    <t>DDD-ZZ-DE</t>
  </si>
  <si>
    <t>Ratingen</t>
  </si>
  <si>
    <t>40882</t>
  </si>
  <si>
    <t>000</t>
  </si>
  <si>
    <t>DDD-ZZ-FR</t>
  </si>
  <si>
    <t>DDD-ZZ-IT</t>
  </si>
  <si>
    <t>DDD-ZZ-ES</t>
  </si>
  <si>
    <t>DDD-美西暂存中转</t>
  </si>
  <si>
    <t>DDD美西暂存中转仓库</t>
  </si>
  <si>
    <t>谷仓(GA31326)</t>
  </si>
  <si>
    <t>1100 Heritage Way Rincon, GA 31326 Rincon GA 31326 US</t>
  </si>
  <si>
    <t>Rincon</t>
  </si>
  <si>
    <t>31326</t>
  </si>
  <si>
    <t>乐歌SAV仓(GA31326)</t>
  </si>
  <si>
    <t>1100 LOGISTICS PARKWAY, BUILDING 1,RINCON,GA,31326</t>
  </si>
  <si>
    <t>运去哪（GA 31322）</t>
  </si>
  <si>
    <t>301 CYPRESS MEADOW DR,suite 200 Pooler GA US ,GA,31322</t>
  </si>
  <si>
    <t>Pooler</t>
  </si>
  <si>
    <t>31322</t>
  </si>
  <si>
    <t>西邮WPGA1(GA 30046)</t>
  </si>
  <si>
    <t>975 old norcross rd, Lawrenceville, GA 30046</t>
  </si>
  <si>
    <t>Lawrenceville</t>
  </si>
  <si>
    <t>30046</t>
  </si>
  <si>
    <t>西邮WPGA4(GA31405)</t>
  </si>
  <si>
    <t>125 Feldspar Dr Suite 100, Savannah, GA 31405</t>
  </si>
  <si>
    <t>Savannah</t>
  </si>
  <si>
    <t>31405</t>
  </si>
  <si>
    <t>大健云仓SAV仓（GA 31408）</t>
  </si>
  <si>
    <t>133 Coleman Blvd, Savannah, GA 31408</t>
  </si>
  <si>
    <t>31408</t>
  </si>
  <si>
    <t>WDC-DE</t>
  </si>
  <si>
    <t>45478 Mülheim an der Ruhr,Rheinstraße 30</t>
  </si>
  <si>
    <t>111</t>
  </si>
  <si>
    <t>4PX-55459</t>
  </si>
  <si>
    <t>Albert-Schweitzer-Str.1 Tor 20 Grolsheim Rheinland-Pfalz Grolsheim 55459 Germany</t>
  </si>
  <si>
    <t>Grolsheim</t>
  </si>
  <si>
    <t>55459</t>
  </si>
  <si>
    <t>4PX-65462</t>
  </si>
  <si>
    <t>Ginsheimer Str 8 Ginsheim-gustavsburg 65462 DE</t>
  </si>
  <si>
    <t>Ginsheimer</t>
  </si>
  <si>
    <t>65462</t>
  </si>
  <si>
    <t>NOD-31628</t>
  </si>
  <si>
    <t>Brokeloher Strasse 24 31628 Landesbergen DE</t>
  </si>
  <si>
    <t>Landesbergen</t>
  </si>
  <si>
    <t>31628</t>
  </si>
  <si>
    <t>NOD</t>
  </si>
  <si>
    <t>PG-63150</t>
  </si>
  <si>
    <t>Tor 1,Levi-Strauss-Allee 10-12 Heusenstamm 63150 Germany</t>
  </si>
  <si>
    <t>Heusenstamm</t>
  </si>
  <si>
    <t>63150</t>
  </si>
  <si>
    <t>Teknihall Service GmbH</t>
  </si>
  <si>
    <t>OCFC-55450</t>
  </si>
  <si>
    <t>An den Nahewiesen 1 Rheinland-Pfalz DE-55450 Langenlonsheim</t>
  </si>
  <si>
    <t>Orange Connex Fulfillment Center</t>
  </si>
  <si>
    <t>GC-53881</t>
  </si>
  <si>
    <t>C/O Schneppenheimer Weg 67, Euskirchen, NorthRhine Westphalia, Euskirchen 53881 DE</t>
  </si>
  <si>
    <t>Euskirchen</t>
  </si>
  <si>
    <t>53881</t>
  </si>
  <si>
    <t>GC-53881-DE</t>
  </si>
  <si>
    <t>EDA-44145</t>
  </si>
  <si>
    <t>kaiserstuhlstrabe 4 44145  Dortmund Germany</t>
  </si>
  <si>
    <t>EDA-44145-DE</t>
  </si>
  <si>
    <t>GC-41002</t>
  </si>
  <si>
    <t>CZ-8 P3 Logistic Parks Hala A2, Terezínská 1288, 41002 Lovosice CZ</t>
  </si>
  <si>
    <t>Lovosice</t>
  </si>
  <si>
    <t>41002</t>
  </si>
  <si>
    <t>GC-41002-CZ</t>
  </si>
  <si>
    <t>GC-69100</t>
  </si>
  <si>
    <t>Aurora,Osiedle przemysﾅＰwe 5(Gate 5) Slubice  69100  PL</t>
  </si>
  <si>
    <t>Slubice</t>
  </si>
  <si>
    <t>69100</t>
  </si>
  <si>
    <t>GC-69100-PL</t>
  </si>
  <si>
    <t>DIANOU-69100</t>
  </si>
  <si>
    <t>43B Swiecko  69-100 PL</t>
  </si>
  <si>
    <t>Swiecko</t>
  </si>
  <si>
    <t>Dianou Fulfilment</t>
  </si>
  <si>
    <t>STW-69100</t>
  </si>
  <si>
    <t>osiedle Przemysłowe 5 Sł-bice 69100 PL</t>
  </si>
  <si>
    <t>Sł-bice</t>
  </si>
  <si>
    <t>STW</t>
  </si>
  <si>
    <t>CSC-69100</t>
  </si>
  <si>
    <t>ul.osiedle przemysłowe 16 brama1-2, Slubice 69-100 PL</t>
  </si>
  <si>
    <t>CLOUD SUPPLY CHAIN SP.Z O.O</t>
  </si>
  <si>
    <t>LEPOWER-69100</t>
  </si>
  <si>
    <t>os. Przemyslowe 7 Brama 5 Brama 5 Slubice 69-100 PL</t>
  </si>
  <si>
    <t>Lepower</t>
  </si>
  <si>
    <t>PROSCENIC-69100</t>
  </si>
  <si>
    <t>ul. Transportowa 11 SLUBICE vlookup 69100 PL</t>
  </si>
  <si>
    <t>SLUBICE</t>
  </si>
  <si>
    <t>Proscenic</t>
  </si>
  <si>
    <t>PTGMBH-69100</t>
  </si>
  <si>
    <t>os. Przemyslowe 5 Brama/Gate   9-18 Slubice</t>
  </si>
  <si>
    <t>Parceljet Technology GmbH</t>
  </si>
  <si>
    <t>EDA-69100</t>
  </si>
  <si>
    <t>Swiecko 43B Swiecko Lubuskie 69-100 POLAND</t>
  </si>
  <si>
    <t>Lubuskie</t>
  </si>
  <si>
    <t>EDA-69100-PL</t>
  </si>
  <si>
    <t>GC-95500</t>
  </si>
  <si>
    <t>C/O 3 Avenue DU XXIème Siècle   95500   Gonesse   Val-d'Oise   FRANCE</t>
  </si>
  <si>
    <t>Val-d'Oise</t>
  </si>
  <si>
    <t>95500</t>
  </si>
  <si>
    <t>GC-95500-FR</t>
  </si>
  <si>
    <t>GC-60440</t>
  </si>
  <si>
    <t>C/O 7 rue de la Demi-luneNanteuil Le HaudouinOise  60440 FRANCE</t>
  </si>
  <si>
    <t>HaudouinOise</t>
  </si>
  <si>
    <t>60440</t>
  </si>
  <si>
    <t>GC-60440-FR</t>
  </si>
  <si>
    <t>CN</t>
  </si>
  <si>
    <t>私人地址</t>
  </si>
  <si>
    <t>SZ-DDD</t>
  </si>
  <si>
    <t>中国 内地</t>
  </si>
  <si>
    <t>GUANGLAN,LONGHUA,SHENZHEN</t>
  </si>
  <si>
    <t>SHENZHEN DIDADI</t>
  </si>
  <si>
    <t>WTGJ-DE</t>
  </si>
  <si>
    <t>Karlsruher Str. 9</t>
  </si>
  <si>
    <t>Baden-Württemberg</t>
  </si>
  <si>
    <t>Leinfelden-Echterdingen</t>
  </si>
  <si>
    <t>70771</t>
  </si>
  <si>
    <t>路线编码</t>
  </si>
  <si>
    <t>路线名称</t>
  </si>
  <si>
    <t>清关方式</t>
  </si>
  <si>
    <t>S-UK22S</t>
  </si>
  <si>
    <t>英国海运-快递派(ZS)-华南</t>
  </si>
  <si>
    <t>自税</t>
  </si>
  <si>
    <t>T-UK21S</t>
  </si>
  <si>
    <t>英国卡航-快递派(ZS)-华南</t>
  </si>
  <si>
    <t>S-UK23S</t>
  </si>
  <si>
    <t>英国海运-卡派(ZS)-CBM-华南</t>
  </si>
  <si>
    <t>A-EU002 空-欧洲特惠（HS）</t>
  </si>
  <si>
    <t>空-欧洲特惠（HS）</t>
  </si>
  <si>
    <t>包税</t>
  </si>
  <si>
    <t>A-EU002-B 空-欧洲特惠（HS）-带电</t>
  </si>
  <si>
    <t>空-欧洲特惠（HS）-带电</t>
  </si>
  <si>
    <t>A-EU003 空-德国专线（HS）</t>
  </si>
  <si>
    <t>空-德国专线（HS）</t>
  </si>
  <si>
    <t>A-EU003-B 空-德国专线（HS）-带电</t>
  </si>
  <si>
    <t>空-德国专线（HS）-带电</t>
  </si>
  <si>
    <t>A-EU004 空-欧洲特惠（ZS）</t>
  </si>
  <si>
    <t>空-欧洲特惠（ZS）</t>
  </si>
  <si>
    <t>A-EU004-B 空-欧洲特惠（ZS）-带电</t>
  </si>
  <si>
    <t>空-欧洲特惠（ZS）-带电</t>
  </si>
  <si>
    <t>A-UK002 空-英国特惠（ZS）</t>
  </si>
  <si>
    <t>空-英国特惠（ZS）</t>
  </si>
  <si>
    <t>A-UK002-A 空-英国特惠（HS)</t>
  </si>
  <si>
    <t>空-英国特惠（HS)</t>
  </si>
  <si>
    <t>A-US002 空-美国特惠（HS）</t>
  </si>
  <si>
    <t>空-美国特惠（HS）</t>
  </si>
  <si>
    <t>A-US002-B 空-美国特惠（HS）-带电</t>
  </si>
  <si>
    <t>空-美国特惠（HS）-带电</t>
  </si>
  <si>
    <t>R-EU01S</t>
  </si>
  <si>
    <t>欧洲铁路-快递派(BS)-华南</t>
  </si>
  <si>
    <t>S-EU20S</t>
  </si>
  <si>
    <t>欧洲海运-快递派递延(ZS)-华南</t>
  </si>
  <si>
    <t>E-EX001</t>
  </si>
  <si>
    <t>快-香港DHL特惠5000</t>
  </si>
  <si>
    <t>E-EX002</t>
  </si>
  <si>
    <t>快-大陆FEDEX-IP特惠5000</t>
  </si>
  <si>
    <t>S-EU21S</t>
  </si>
  <si>
    <t>欧洲海运-卡派递延(ZS)-CBM-华南</t>
  </si>
  <si>
    <t>A-UK002-B 空-英国特惠（ZS)-带电</t>
  </si>
  <si>
    <t>空-英国特惠（ZS)-带电</t>
  </si>
  <si>
    <t>DDD-WHS</t>
  </si>
  <si>
    <t>仓-国内暂存</t>
  </si>
  <si>
    <t>D-TEST</t>
  </si>
  <si>
    <t>测试渠道(仅限测试,禁止下单)</t>
  </si>
  <si>
    <t>S-UK31</t>
  </si>
  <si>
    <t>英国海运-项目运输</t>
  </si>
  <si>
    <t>BL-欧洲海运-补录费用</t>
  </si>
  <si>
    <t>S-EU01S</t>
  </si>
  <si>
    <t>欧洲海运-快递派(BS)-华南</t>
  </si>
  <si>
    <t>R-EU02S</t>
  </si>
  <si>
    <t>欧洲铁路-卡派(BS)-华南</t>
  </si>
  <si>
    <t>S-EU71</t>
  </si>
  <si>
    <t>S-EU71 欧-海-干线订舱</t>
  </si>
  <si>
    <t>R-EU20S</t>
  </si>
  <si>
    <t>欧洲铁路-快递派递延(ZS)-华南</t>
  </si>
  <si>
    <t>A-DZ01US 美国空运定制专线</t>
  </si>
  <si>
    <t>空-美国空运定制专线</t>
  </si>
  <si>
    <t>S-US02S</t>
  </si>
  <si>
    <t>S-US21S</t>
  </si>
  <si>
    <t>美国海运-钻龙特运卡派(ZS)-华南</t>
  </si>
  <si>
    <t>S-US03S</t>
  </si>
  <si>
    <t>美国海运-金雁疾运卡派(BS)-华南</t>
  </si>
  <si>
    <t>S-US22S</t>
  </si>
  <si>
    <t>美国海运-金雁疾运卡派(ZS)-华南</t>
  </si>
  <si>
    <t>S-US04S</t>
  </si>
  <si>
    <t>美国海运-银狮速运卡派(BS)-华南</t>
  </si>
  <si>
    <t>S-US23S</t>
  </si>
  <si>
    <t>美国海运-银狮速运卡派(ZS)-华南</t>
  </si>
  <si>
    <t>S-US05S</t>
  </si>
  <si>
    <t>美国海运-铜虎快运卡派(BS)-华南</t>
  </si>
  <si>
    <t>S-US24S</t>
  </si>
  <si>
    <t>美国海运-铜虎快运卡派(ZS)-华南</t>
  </si>
  <si>
    <t>S-CA01S</t>
  </si>
  <si>
    <t>加拿大海运-直航快线卡派(BS)-华南</t>
  </si>
  <si>
    <t>S-US10S</t>
  </si>
  <si>
    <t>美国海运-钻龙特运快递派(BS)-华南</t>
  </si>
  <si>
    <t>S-US11S</t>
  </si>
  <si>
    <t>美国海运-金雁疾运快递派(BS)-华南</t>
  </si>
  <si>
    <t>S-US12S</t>
  </si>
  <si>
    <t>美国海运-银狮速运快递派(BS)-华南</t>
  </si>
  <si>
    <t>S-US13S</t>
  </si>
  <si>
    <t>美国海运-铜虎快运快递派(BS)-华南</t>
  </si>
  <si>
    <t>S-US06S</t>
  </si>
  <si>
    <t>美国海运-美西整柜直送特惠线(BS)-华南</t>
  </si>
  <si>
    <t>Z-Test</t>
  </si>
  <si>
    <t>测试路线Z</t>
  </si>
  <si>
    <t>CESHI</t>
  </si>
  <si>
    <t>S-US14S</t>
  </si>
  <si>
    <t>美国海运-钻龙暂存中转专线(BS)-华南</t>
  </si>
  <si>
    <t>S-US15S</t>
  </si>
  <si>
    <t>美国海运-金雁暂存中转专线(BS)-华南</t>
  </si>
  <si>
    <t>S-US16S</t>
  </si>
  <si>
    <t>美国海运-银狮暂存中转专线(BS)-华南</t>
  </si>
  <si>
    <t>S-US17S</t>
  </si>
  <si>
    <t>美国海运-铜虎暂存中转专线(BS)-华南</t>
  </si>
  <si>
    <t>S-CA88S</t>
  </si>
  <si>
    <t>加拿大-美转加-美森快递派(BS)-华南</t>
  </si>
  <si>
    <t>S-CA87S</t>
  </si>
  <si>
    <t>加拿大-美转加-美森卡派(BS)-华南</t>
  </si>
  <si>
    <t>S-CA20S</t>
  </si>
  <si>
    <t>加拿大海运-直航快线卡派(ZS)-华南</t>
  </si>
  <si>
    <t>E-EX003</t>
  </si>
  <si>
    <t>快-香港UPS红单特惠5000</t>
  </si>
  <si>
    <t>E-EX005</t>
  </si>
  <si>
    <t>快-香港FEDEX-IP特惠5000</t>
  </si>
  <si>
    <t>A-UK002-C 空-英国特惠（HS)-带电</t>
  </si>
  <si>
    <t>空-英国特惠（HS)-带电</t>
  </si>
  <si>
    <t>R-EU03S</t>
  </si>
  <si>
    <t>欧洲快铁-特快线快递派(BS)-华南</t>
  </si>
  <si>
    <t>R-EU04S</t>
  </si>
  <si>
    <t>欧洲快铁-特快线卡派(BS)-华南</t>
  </si>
  <si>
    <t>S-EU22S</t>
  </si>
  <si>
    <t>欧洲海运-卡派递延(ZS)-KG-华南</t>
  </si>
  <si>
    <t>S-AU01S</t>
  </si>
  <si>
    <t>澳洲海运-FBA专线(BS)-华南</t>
  </si>
  <si>
    <t>S-AU02S</t>
  </si>
  <si>
    <t>澳洲海运-全境直送(BS)-华南</t>
  </si>
  <si>
    <t>E-EX006</t>
  </si>
  <si>
    <t>快-香港UPS北美超大件特惠6000</t>
  </si>
  <si>
    <t>A-CA001 空-加拿大特惠（HS）</t>
  </si>
  <si>
    <t>空-加拿大特惠（HS）</t>
  </si>
  <si>
    <t>A-DZ01EU 欧洲空运定制专线</t>
  </si>
  <si>
    <t>空-欧洲空运定制专线</t>
  </si>
  <si>
    <t>A-DZ01UK 英国空运定制专线</t>
  </si>
  <si>
    <t>空-英国空运定制专线</t>
  </si>
  <si>
    <t>A-DZ01OT 其他空运定制专线</t>
  </si>
  <si>
    <t>空-其他空运定制专线</t>
  </si>
  <si>
    <t>S-UK01S</t>
  </si>
  <si>
    <t>英国海运-快递派(BS)-华南</t>
  </si>
  <si>
    <t>T-EU01S</t>
  </si>
  <si>
    <t>欧洲卡航-嘀卡陆航快递派(BS)-华南</t>
  </si>
  <si>
    <t>S-EU31</t>
  </si>
  <si>
    <t>S-EU31 欧洲海运-项目运输</t>
  </si>
  <si>
    <t>T-EU21S</t>
  </si>
  <si>
    <t>欧洲卡航-嘀卡陆航快递派递延(ZS)-华南</t>
  </si>
  <si>
    <t>R-EU01N</t>
  </si>
  <si>
    <t>欧洲铁路-快递派(BS)-华东</t>
  </si>
  <si>
    <t>S-EU20N</t>
  </si>
  <si>
    <t>欧洲海运-快递派递延(ZS)-华东</t>
  </si>
  <si>
    <t>S-UK22N</t>
  </si>
  <si>
    <t>英国海运-快递派(ZS)-华东</t>
  </si>
  <si>
    <t>S-UK23N</t>
  </si>
  <si>
    <t>英国海运-卡派(ZS)-CBM-华东</t>
  </si>
  <si>
    <t>R-EU02N</t>
  </si>
  <si>
    <t>欧洲铁路-卡派(BS)-华东</t>
  </si>
  <si>
    <t>S-EU21N</t>
  </si>
  <si>
    <t>欧洲海运-卡派递延(ZS)-CBM-华东</t>
  </si>
  <si>
    <t>T-EU01N</t>
  </si>
  <si>
    <t>欧洲卡航-嘀卡陆航快递派(BS)-华东</t>
  </si>
  <si>
    <t>R-EU03N</t>
  </si>
  <si>
    <t>欧洲快铁-特快线快递派(BS)-华东</t>
  </si>
  <si>
    <t>R-EU04N</t>
  </si>
  <si>
    <t>欧洲快铁-特快线卡派(BS)-华东</t>
  </si>
  <si>
    <t>S-EU01N</t>
  </si>
  <si>
    <t>欧洲海运-快递派(BS)-华东</t>
  </si>
  <si>
    <t>S-US31</t>
  </si>
  <si>
    <t>美国海运-项目运输</t>
  </si>
  <si>
    <t>S-CA31</t>
  </si>
  <si>
    <t>加拿大海运-项目运输</t>
  </si>
  <si>
    <t>S-AU31</t>
  </si>
  <si>
    <t>澳洲海运-项目项目运输</t>
  </si>
  <si>
    <t>S-CA71</t>
  </si>
  <si>
    <t>S-CA71 加拿大-海-干线订舱</t>
  </si>
  <si>
    <t>S-AU71</t>
  </si>
  <si>
    <t>S-AU71 澳洲-海-干线订舱</t>
  </si>
  <si>
    <t>S-US71</t>
  </si>
  <si>
    <t>S-US71 美国-海-干线订舱</t>
  </si>
  <si>
    <t>S-US02N</t>
  </si>
  <si>
    <t>美国海运-钻龙特运卡派(BS)-华东</t>
  </si>
  <si>
    <t>S-US21N</t>
  </si>
  <si>
    <t>美国海运-钻龙特运卡派(ZS)-华东</t>
  </si>
  <si>
    <t>S-US03N</t>
  </si>
  <si>
    <t>美国海运-金雁疾运卡派(BS)-华东</t>
  </si>
  <si>
    <t>S-US22N</t>
  </si>
  <si>
    <t>美国海运-金雁疾运卡派(ZS)-华东</t>
  </si>
  <si>
    <t>S-US23N</t>
  </si>
  <si>
    <t>美国海运-银狮速运卡派(ZS)-华东</t>
  </si>
  <si>
    <t>S-US24N</t>
  </si>
  <si>
    <t>美国海运-铜虎快运卡派(ZS)-华东</t>
  </si>
  <si>
    <t>S-US25N</t>
  </si>
  <si>
    <t>美国海运-美西整柜直送特惠线(ZS)-华东</t>
  </si>
  <si>
    <t>S-CA20N</t>
  </si>
  <si>
    <t>加拿大海运-直航快线卡派(ZS)-华东</t>
  </si>
  <si>
    <t>S-US04N</t>
  </si>
  <si>
    <t>美国海运-银狮速运卡派(BS)-华东</t>
  </si>
  <si>
    <t>S-US05N</t>
  </si>
  <si>
    <t>美国海运-铜虎快运卡派(BS)-华东</t>
  </si>
  <si>
    <t>S-CA01N</t>
  </si>
  <si>
    <t>加拿大海运-直航快线卡派(BS)-华东</t>
  </si>
  <si>
    <t>S-US10N</t>
  </si>
  <si>
    <t>美国海运-钻龙特运快递派(BS)-华东</t>
  </si>
  <si>
    <t>S-US11N</t>
  </si>
  <si>
    <t>美国海运-金雁疾运快递派(BS)-华东</t>
  </si>
  <si>
    <t>S-US12N</t>
  </si>
  <si>
    <t>美国海运-银狮速运快递派(BS)-华东</t>
  </si>
  <si>
    <t>S-US06N</t>
  </si>
  <si>
    <t>美国海运-美西整柜直送特惠线(BS)-华东</t>
  </si>
  <si>
    <t>W-EU91</t>
  </si>
  <si>
    <t>W-EU91 欧-仓-仓储服务</t>
  </si>
  <si>
    <t>R-EU31</t>
  </si>
  <si>
    <t>欧洲铁路-项目运输</t>
  </si>
  <si>
    <t>S-UK71</t>
  </si>
  <si>
    <t>英国海运-干线订舱</t>
  </si>
  <si>
    <t>T-UK01S</t>
  </si>
  <si>
    <t>英国卡航-快递派(BS)-华南</t>
  </si>
  <si>
    <t>S-EU04S</t>
  </si>
  <si>
    <t>欧洲海运-卡派(BS)-华南</t>
  </si>
  <si>
    <t>S-EU04N</t>
  </si>
  <si>
    <t>欧洲海运-卡派(BS)-华东</t>
  </si>
  <si>
    <t>S-UK01N</t>
  </si>
  <si>
    <t>英国海运-快递派(BS)-华东</t>
  </si>
  <si>
    <t>T-EU21N</t>
  </si>
  <si>
    <t>欧洲卡航-嘀卡陆航快递派递延(ZS)-华东</t>
  </si>
  <si>
    <t>S-CA05S</t>
  </si>
  <si>
    <t>加拿大海运-直航快线快递派(BS)-华南</t>
  </si>
  <si>
    <t>S-CA05N</t>
  </si>
  <si>
    <t>加拿大海运-直航快线快递派(BS)-华东</t>
  </si>
  <si>
    <t>S-US25S</t>
  </si>
  <si>
    <t>美国海运-美西整柜直送特惠线(ZS)-华南</t>
  </si>
  <si>
    <t>S-UK24S</t>
  </si>
  <si>
    <t>英国海运-卡派(ZS)-KG-华南</t>
  </si>
  <si>
    <t>DC-USPS-GAL-ZR</t>
  </si>
  <si>
    <t>嘀嗒嘀海外仓配-USPS-GAL-ZR</t>
  </si>
  <si>
    <t>R-EU21S</t>
  </si>
  <si>
    <t>欧洲铁路-卡派递延(ZS)-华南</t>
  </si>
  <si>
    <t>R-EU21N</t>
  </si>
  <si>
    <t>欧洲铁路-卡派递延(ZS)-华东</t>
  </si>
  <si>
    <t>R-EU20N</t>
  </si>
  <si>
    <t>欧洲铁路-快递派递延(ZS)-华东</t>
  </si>
  <si>
    <t>S-US31S</t>
  </si>
  <si>
    <t>美国海运-美东海运快递派(BS)-华南</t>
  </si>
  <si>
    <t>S-US31N</t>
  </si>
  <si>
    <t>美国海运-美东海运快递派(BS)-华东</t>
  </si>
  <si>
    <t>Albert-Test-FBA</t>
  </si>
  <si>
    <t>Albert的FBA专线测试专用，禁止下单</t>
  </si>
  <si>
    <t>S-UK25S</t>
  </si>
  <si>
    <t>英国海运-卡派(BS)-华南</t>
  </si>
  <si>
    <t>S-UK26N</t>
  </si>
  <si>
    <t>英国海运-卡派(BS)-华东</t>
  </si>
  <si>
    <t>S-UK24N</t>
  </si>
  <si>
    <t>英国海运-卡派(ZS)-KG-华东</t>
  </si>
  <si>
    <t>T-UK23S</t>
  </si>
  <si>
    <t>英国卡航-BHX4/LBA4卡派(ZS)-华南</t>
  </si>
  <si>
    <t>T-EU31</t>
  </si>
  <si>
    <t>欧洲卡航-项目运输</t>
  </si>
  <si>
    <t>R-EU22S</t>
  </si>
  <si>
    <t>欧洲快铁-特快线快递派递延(ZS)-华南</t>
  </si>
  <si>
    <t>R-EU22N</t>
  </si>
  <si>
    <t>欧洲快铁-特快线快递派递延(ZS)-华东</t>
  </si>
  <si>
    <t>R-EU23S</t>
  </si>
  <si>
    <t>欧洲快铁-特快线卡派递延(ZS)-华南</t>
  </si>
  <si>
    <t>R-EU23N</t>
  </si>
  <si>
    <t>欧洲快铁-特快线卡派递延(ZS)-华东</t>
  </si>
  <si>
    <t>DC-UPS-GROUND-BDE</t>
  </si>
  <si>
    <t>嘀仓-UPS GROUND-美东商业地址</t>
  </si>
  <si>
    <t>S-US19S</t>
  </si>
  <si>
    <t>美国海运-美东纽约卡派特惠线(BS)-华南</t>
  </si>
  <si>
    <t>S-US19N</t>
  </si>
  <si>
    <t>美国海运-美东纽约卡派特惠线(BS)-华东</t>
  </si>
  <si>
    <t>S-US27S</t>
  </si>
  <si>
    <t>美国海运-美东纽约卡派特惠线(ZS)-华南</t>
  </si>
  <si>
    <t>S-US27N</t>
  </si>
  <si>
    <t>美国海运-美东纽约卡派特惠线(ZS)-华东</t>
  </si>
  <si>
    <t>DC-DHL-Paket-DE</t>
  </si>
  <si>
    <t>嘀仓海外仓配-德国DHL</t>
  </si>
  <si>
    <t>DC-DHL-CO-DE</t>
  </si>
  <si>
    <t>嘀仓海外仓-SK中转DHL商业件</t>
  </si>
  <si>
    <t>S-US28S</t>
  </si>
  <si>
    <t>美国海运-美湾海运特惠线卡派(BS)-华南</t>
  </si>
  <si>
    <t>S-US28N</t>
  </si>
  <si>
    <t>美国海运-美湾海运特惠线卡派(BS)-华东</t>
  </si>
  <si>
    <t>S-US29S</t>
  </si>
  <si>
    <t>美国海运-美湾海运特惠线卡派(ZS)-华南</t>
  </si>
  <si>
    <t>S-US29N</t>
  </si>
  <si>
    <t>美国海运-美湾海运特惠线卡派(ZS)-华东</t>
  </si>
  <si>
    <t>T-CN31</t>
  </si>
  <si>
    <t>国内头程</t>
  </si>
  <si>
    <t>DC-DHL-FBA-DE</t>
  </si>
  <si>
    <t>嘀仓海外仓-SK中转DHL-FBA</t>
  </si>
  <si>
    <t>S-US20N</t>
  </si>
  <si>
    <t>美国海运-铜虎快运™快递派(BS)-华东</t>
  </si>
  <si>
    <t>DC-UPS-GROUND-BDW</t>
  </si>
  <si>
    <t>嘀仓-UPS GFROUND-美西商业地址</t>
  </si>
  <si>
    <t>R-UK22S</t>
  </si>
  <si>
    <t>英国快铁-快递派(ZS)-华南</t>
  </si>
  <si>
    <t>R-UK23S</t>
  </si>
  <si>
    <t>英国快铁-卡派(ZS)-CBM-华南</t>
  </si>
  <si>
    <t>R-UK24S</t>
  </si>
  <si>
    <t>英国快铁-卡派(ZS)-KG-华南</t>
  </si>
  <si>
    <t>DC-Fedex-Co</t>
  </si>
  <si>
    <t>DC-Fedex-商业地址</t>
  </si>
  <si>
    <t>R-UK01S</t>
  </si>
  <si>
    <t>英国快铁-快递派(BS)-华南</t>
  </si>
  <si>
    <t>S-CA65S</t>
  </si>
  <si>
    <t>加拿大-美转加-OA卡派(BS)-华南</t>
  </si>
  <si>
    <t>S-CA66S</t>
  </si>
  <si>
    <t>加拿大-美转加-OA快递派(BS)-华南</t>
  </si>
  <si>
    <t>S-EU23N</t>
  </si>
  <si>
    <t>欧洲海运-卡派递延(ZS)-KG-华东</t>
  </si>
  <si>
    <t>S-CA77S</t>
  </si>
  <si>
    <t>加拿大-美转加-以星合德卡派(BS)-华南</t>
  </si>
  <si>
    <t>S-CA78S</t>
  </si>
  <si>
    <t>加拿大-美转加-以星合德快递派(BS)-华南</t>
  </si>
  <si>
    <t>S-US46S</t>
  </si>
  <si>
    <t>美国海运-钢牛普运特惠线卡派(BS)-华南</t>
  </si>
  <si>
    <t>S-US47S</t>
  </si>
  <si>
    <t>美国海运-钢牛普运特惠线卡派(ZS)-华南</t>
  </si>
  <si>
    <t>S-US46N</t>
  </si>
  <si>
    <t>美国海运-钢牛普运特惠线卡派(BS)-华东</t>
  </si>
  <si>
    <t>S-US47N</t>
  </si>
  <si>
    <t>美国海运-钢牛普运特惠线卡派(ZS)-华东</t>
  </si>
  <si>
    <t>S-US48S</t>
  </si>
  <si>
    <t>美国海铁-美中海铁特惠线卡派(BS)-华南</t>
  </si>
  <si>
    <t>S-US49S</t>
  </si>
  <si>
    <t>美国海铁-美中海铁特惠线卡派(ZS)-华南</t>
  </si>
  <si>
    <t>S-US48N</t>
  </si>
  <si>
    <t>美国海铁-美中海铁特惠线卡派(BS)-华东</t>
  </si>
  <si>
    <t>S-US49N</t>
  </si>
  <si>
    <t>美国海铁-美中海铁特惠线卡派(ZS)-华东</t>
  </si>
  <si>
    <t>S-US50S</t>
  </si>
  <si>
    <t>美国海运-美东海运萨凡纳特惠线卡派(BS)-华南</t>
  </si>
  <si>
    <t>S-US51S</t>
  </si>
  <si>
    <t>美国海运-美东海运萨凡纳特惠线卡派(ZS)-华南</t>
  </si>
  <si>
    <t>S-US50N</t>
  </si>
  <si>
    <t>美国海运-美东海运萨凡纳特惠线卡派(BS)-华东</t>
  </si>
  <si>
    <t>S-US51N</t>
  </si>
  <si>
    <t>美国海运-美东海运萨凡纳特惠线卡派(ZS)-华东</t>
  </si>
  <si>
    <t>R-UK31</t>
  </si>
  <si>
    <t>英国铁路-项目运输</t>
  </si>
  <si>
    <t>S-US14N</t>
  </si>
  <si>
    <t>美国海运-钻龙暂存中转专线(BS)-华东</t>
  </si>
  <si>
    <t>S-US15N</t>
  </si>
  <si>
    <t>美国海运-金雁暂存中转专线(BS)-华东</t>
  </si>
  <si>
    <t>S-US16N</t>
  </si>
  <si>
    <t>美国海运-银狮暂存中转专线(BS)-华东</t>
  </si>
  <si>
    <t>S-US60N</t>
  </si>
  <si>
    <t>美国海运-铜虎暂存中转专线(BS)-华东</t>
  </si>
  <si>
    <t>S-US61N</t>
  </si>
  <si>
    <t>美国海运-钢牛暂存中转专线(BS)-华东</t>
  </si>
  <si>
    <t>S-US61S</t>
  </si>
  <si>
    <t>美国海运-钢牛暂存中转专线(BS)-华南</t>
  </si>
  <si>
    <t>T-DNY01</t>
  </si>
  <si>
    <t>东南亚海运-项目运输</t>
  </si>
  <si>
    <t>T-DNY02</t>
  </si>
  <si>
    <t>东南亚陆运-项目运输</t>
  </si>
  <si>
    <t>R-UK01N</t>
  </si>
  <si>
    <t>英国快铁-快递派(BS)-华东</t>
  </si>
  <si>
    <t>R-UK22N</t>
  </si>
  <si>
    <t>英国快铁-快递派(ZS)-华东</t>
  </si>
  <si>
    <t>R-UK23N</t>
  </si>
  <si>
    <t>英国快铁-卡派(ZS)-CBM-华东</t>
  </si>
  <si>
    <t>R-UK24N</t>
  </si>
  <si>
    <t>英国快铁-卡派(ZS)-KG-华东</t>
  </si>
  <si>
    <t>S-US62S</t>
  </si>
  <si>
    <t>美国海运-银狮速运™卡派王牌特惠线(BS)-华南</t>
  </si>
  <si>
    <t>S-US63S</t>
  </si>
  <si>
    <t>美国海运-银狮速运™卡派王牌特惠线(ZS)-华南</t>
  </si>
  <si>
    <t>S-US62N</t>
  </si>
  <si>
    <t>美国海运-银狮速运™卡派王牌特惠线(BS)-华东</t>
  </si>
  <si>
    <t>S-US63N</t>
  </si>
  <si>
    <t>美国海运-银狮速运™卡派王牌特惠线(ZS)-华东</t>
  </si>
  <si>
    <t>S-US66S</t>
  </si>
  <si>
    <t>美国海运-铜虎快运™卡派王牌特惠线(BS)-华南</t>
  </si>
  <si>
    <t>S-US67S</t>
  </si>
  <si>
    <t>美国海运-铜虎快运™卡派王牌特惠线(ZS)-华南</t>
  </si>
  <si>
    <t>S-US67N</t>
  </si>
  <si>
    <t>美国海运-铜虎快运™卡派王牌特惠线(ZS)-华东</t>
  </si>
  <si>
    <t>S-US66N</t>
  </si>
  <si>
    <t>美国海运-铜虎快运™卡派王牌特惠线(BS)-华东</t>
  </si>
  <si>
    <t>S-US68S</t>
  </si>
  <si>
    <t>美国海运-钢牛普运™卡派王牌特惠线(BS)-华南</t>
  </si>
  <si>
    <t>S-US69S</t>
  </si>
  <si>
    <t>美国海运-钢牛普运™卡派王牌特惠线(ZS)-华南</t>
  </si>
  <si>
    <t>S-US68N</t>
  </si>
  <si>
    <t>美国海运-钢牛普运™卡派王牌特惠线(BS)-华东</t>
  </si>
  <si>
    <t>S-US69N</t>
  </si>
  <si>
    <t>美国海运-钢牛普运™卡派王牌特惠线(ZS)-华东</t>
  </si>
  <si>
    <t>T-EU03S</t>
  </si>
  <si>
    <t>欧洲卡航-嘀卡陆航卡派(BS)-华南</t>
  </si>
  <si>
    <t>T-EU23S</t>
  </si>
  <si>
    <t>欧洲卡航-嘀卡陆航卡派递延(ZS)-华南</t>
  </si>
</sst>
</file>

<file path=xl/styles.xml><?xml version="1.0" encoding="utf-8"?>
<styleSheet xmlns="http://schemas.openxmlformats.org/spreadsheetml/2006/main" xmlns:mc="http://schemas.openxmlformats.org/markup-compatibility/2006" xmlns:xr9="http://schemas.microsoft.com/office/spreadsheetml/2016/revision9" mc:Ignorable="xr9">
  <numFmts count="7">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0.00;[Red]0.00"/>
    <numFmt numFmtId="177" formatCode="yyyy/m/d\ h:mm;@"/>
    <numFmt numFmtId="178" formatCode="0.00_ "/>
  </numFmts>
  <fonts count="51">
    <font>
      <sz val="12"/>
      <name val="宋体"/>
      <charset val="134"/>
    </font>
    <font>
      <sz val="11"/>
      <color rgb="FF000000"/>
      <name val="宋体"/>
      <charset val="134"/>
      <scheme val="minor"/>
    </font>
    <font>
      <sz val="16"/>
      <name val="微软雅黑"/>
      <charset val="134"/>
    </font>
    <font>
      <sz val="12"/>
      <name val="微软雅黑"/>
      <charset val="134"/>
    </font>
    <font>
      <sz val="10"/>
      <name val="微软雅黑"/>
      <charset val="134"/>
    </font>
    <font>
      <b/>
      <sz val="16"/>
      <color rgb="FFFF0000"/>
      <name val="微软雅黑"/>
      <charset val="134"/>
    </font>
    <font>
      <b/>
      <sz val="14"/>
      <color rgb="FFFF0000"/>
      <name val="微软雅黑"/>
      <charset val="134"/>
    </font>
    <font>
      <sz val="10"/>
      <color rgb="FFFF0000"/>
      <name val="微软雅黑"/>
      <charset val="134"/>
    </font>
    <font>
      <b/>
      <sz val="14"/>
      <color rgb="FFC00000"/>
      <name val="微软雅黑"/>
      <charset val="134"/>
    </font>
    <font>
      <sz val="10"/>
      <color rgb="FFC00000"/>
      <name val="微软雅黑"/>
      <charset val="134"/>
    </font>
    <font>
      <b/>
      <sz val="14"/>
      <color theme="1"/>
      <name val="微软雅黑"/>
      <charset val="134"/>
    </font>
    <font>
      <b/>
      <sz val="10"/>
      <name val="微软雅黑"/>
      <charset val="134"/>
    </font>
    <font>
      <b/>
      <sz val="14"/>
      <name val="微软雅黑"/>
      <charset val="134"/>
    </font>
    <font>
      <sz val="11"/>
      <name val="宋体"/>
      <charset val="0"/>
      <scheme val="minor"/>
    </font>
    <font>
      <b/>
      <sz val="10"/>
      <color rgb="FFC00000"/>
      <name val="微软雅黑"/>
      <charset val="134"/>
    </font>
    <font>
      <b/>
      <sz val="10"/>
      <color rgb="FFFF0000"/>
      <name val="微软雅黑"/>
      <charset val="134"/>
    </font>
    <font>
      <sz val="14"/>
      <name val="微软雅黑"/>
      <charset val="134"/>
    </font>
    <font>
      <sz val="12"/>
      <color rgb="FFFF0000"/>
      <name val="微软雅黑"/>
      <charset val="134"/>
    </font>
    <font>
      <sz val="12"/>
      <color theme="1"/>
      <name val="微软雅黑"/>
      <charset val="134"/>
    </font>
    <font>
      <sz val="10"/>
      <color theme="1"/>
      <name val="微软雅黑"/>
      <charset val="134"/>
    </font>
    <font>
      <sz val="12"/>
      <color rgb="FF000000"/>
      <name val="微软雅黑"/>
      <charset val="134"/>
    </font>
    <font>
      <sz val="11"/>
      <color rgb="FF000000"/>
      <name val="微软雅黑"/>
      <charset val="134"/>
    </font>
    <font>
      <u/>
      <sz val="11"/>
      <color rgb="FF0000FF"/>
      <name val="微软雅黑"/>
      <charset val="0"/>
    </font>
    <font>
      <sz val="9"/>
      <name val="微软雅黑"/>
      <charset val="134"/>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sz val="11"/>
      <color rgb="FF000000"/>
      <name val="宋体"/>
      <charset val="134"/>
    </font>
    <font>
      <sz val="11"/>
      <color rgb="FF993300"/>
      <name val="宋体"/>
      <charset val="134"/>
    </font>
    <font>
      <sz val="10"/>
      <name val="Arial"/>
      <charset val="134"/>
    </font>
    <font>
      <u/>
      <sz val="11"/>
      <color rgb="FF0000FF"/>
      <name val="宋体"/>
      <charset val="134"/>
      <scheme val="minor"/>
    </font>
    <font>
      <sz val="11"/>
      <color rgb="FF008000"/>
      <name val="宋体"/>
      <charset val="134"/>
    </font>
    <font>
      <b/>
      <sz val="10"/>
      <color theme="1"/>
      <name val="微软雅黑"/>
      <charset val="134"/>
    </font>
    <font>
      <sz val="10"/>
      <name val="宋体"/>
      <charset val="134"/>
    </font>
  </fonts>
  <fills count="38">
    <fill>
      <patternFill patternType="none"/>
    </fill>
    <fill>
      <patternFill patternType="gray125"/>
    </fill>
    <fill>
      <patternFill patternType="solid">
        <fgColor theme="9" tint="0.4"/>
        <bgColor indexed="64"/>
      </patternFill>
    </fill>
    <fill>
      <patternFill patternType="solid">
        <fgColor rgb="FFFFFF00"/>
        <bgColor indexed="64"/>
      </patternFill>
    </fill>
    <fill>
      <patternFill patternType="solid">
        <fgColor theme="6" tint="0.6"/>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2"/>
        <bgColor indexed="64"/>
      </patternFill>
    </fill>
    <fill>
      <patternFill patternType="solid">
        <fgColor theme="4" tint="0.599994"/>
        <bgColor indexed="64"/>
      </patternFill>
    </fill>
    <fill>
      <patternFill patternType="solid">
        <fgColor theme="4" tint="0.399976"/>
        <bgColor indexed="64"/>
      </patternFill>
    </fill>
    <fill>
      <patternFill patternType="solid">
        <fgColor theme="5"/>
        <bgColor indexed="64"/>
      </patternFill>
    </fill>
    <fill>
      <patternFill patternType="solid">
        <fgColor theme="5" tint="0.799982"/>
        <bgColor indexed="64"/>
      </patternFill>
    </fill>
    <fill>
      <patternFill patternType="solid">
        <fgColor theme="5" tint="0.599994"/>
        <bgColor indexed="64"/>
      </patternFill>
    </fill>
    <fill>
      <patternFill patternType="solid">
        <fgColor theme="5" tint="0.399976"/>
        <bgColor indexed="64"/>
      </patternFill>
    </fill>
    <fill>
      <patternFill patternType="solid">
        <fgColor theme="6"/>
        <bgColor indexed="64"/>
      </patternFill>
    </fill>
    <fill>
      <patternFill patternType="solid">
        <fgColor theme="6" tint="0.799982"/>
        <bgColor indexed="64"/>
      </patternFill>
    </fill>
    <fill>
      <patternFill patternType="solid">
        <fgColor theme="6" tint="0.599994"/>
        <bgColor indexed="64"/>
      </patternFill>
    </fill>
    <fill>
      <patternFill patternType="solid">
        <fgColor theme="6" tint="0.399976"/>
        <bgColor indexed="64"/>
      </patternFill>
    </fill>
    <fill>
      <patternFill patternType="solid">
        <fgColor theme="7"/>
        <bgColor indexed="64"/>
      </patternFill>
    </fill>
    <fill>
      <patternFill patternType="solid">
        <fgColor theme="7" tint="0.799982"/>
        <bgColor indexed="64"/>
      </patternFill>
    </fill>
    <fill>
      <patternFill patternType="solid">
        <fgColor theme="7" tint="0.599994"/>
        <bgColor indexed="64"/>
      </patternFill>
    </fill>
    <fill>
      <patternFill patternType="solid">
        <fgColor theme="7" tint="0.399976"/>
        <bgColor indexed="64"/>
      </patternFill>
    </fill>
    <fill>
      <patternFill patternType="solid">
        <fgColor theme="8"/>
        <bgColor indexed="64"/>
      </patternFill>
    </fill>
    <fill>
      <patternFill patternType="solid">
        <fgColor theme="8" tint="0.799982"/>
        <bgColor indexed="64"/>
      </patternFill>
    </fill>
    <fill>
      <patternFill patternType="solid">
        <fgColor theme="8" tint="0.599994"/>
        <bgColor indexed="64"/>
      </patternFill>
    </fill>
    <fill>
      <patternFill patternType="solid">
        <fgColor theme="8" tint="0.399976"/>
        <bgColor indexed="64"/>
      </patternFill>
    </fill>
    <fill>
      <patternFill patternType="solid">
        <fgColor theme="9"/>
        <bgColor indexed="64"/>
      </patternFill>
    </fill>
    <fill>
      <patternFill patternType="solid">
        <fgColor theme="9" tint="0.799982"/>
        <bgColor indexed="64"/>
      </patternFill>
    </fill>
    <fill>
      <patternFill patternType="solid">
        <fgColor theme="9" tint="0.599994"/>
        <bgColor indexed="64"/>
      </patternFill>
    </fill>
    <fill>
      <patternFill patternType="solid">
        <fgColor theme="9" tint="0.399976"/>
        <bgColor indexed="64"/>
      </patternFill>
    </fill>
    <fill>
      <patternFill patternType="solid">
        <fgColor rgb="FFFF8080"/>
        <bgColor indexed="64"/>
      </patternFill>
    </fill>
    <fill>
      <patternFill patternType="solid">
        <fgColor rgb="FFCCFFCC"/>
        <bgColor indexed="64"/>
      </patternFill>
    </fill>
  </fills>
  <borders count="14">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style="thin">
        <color auto="1"/>
      </left>
      <right style="thin">
        <color auto="1"/>
      </right>
      <top/>
      <bottom style="thin">
        <color auto="1"/>
      </bottom>
      <diagonal/>
    </border>
    <border>
      <left style="thin">
        <color auto="1"/>
      </left>
      <right/>
      <top/>
      <bottom style="thin">
        <color auto="1"/>
      </bottom>
      <diagonal/>
    </border>
    <border>
      <left style="thin">
        <color auto="1"/>
      </left>
      <right style="thin">
        <color auto="1"/>
      </right>
      <top style="thin">
        <color auto="1"/>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5"/>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65">
    <xf numFmtId="0" fontId="0" fillId="0" borderId="0">
      <alignment vertical="center"/>
    </xf>
    <xf numFmtId="43" fontId="24" fillId="0" borderId="0" applyFont="0" applyFill="0" applyBorder="0" applyAlignment="0" applyProtection="0">
      <alignment vertical="center"/>
    </xf>
    <xf numFmtId="44" fontId="24" fillId="0" borderId="0" applyFont="0" applyFill="0" applyBorder="0" applyAlignment="0" applyProtection="0">
      <alignment vertical="center"/>
    </xf>
    <xf numFmtId="9" fontId="24" fillId="0" borderId="0" applyFont="0" applyFill="0" applyBorder="0" applyAlignment="0" applyProtection="0">
      <alignment vertical="center"/>
    </xf>
    <xf numFmtId="41" fontId="24" fillId="0" borderId="0" applyFont="0" applyFill="0" applyBorder="0" applyAlignment="0" applyProtection="0">
      <alignment vertical="center"/>
    </xf>
    <xf numFmtId="42" fontId="24" fillId="0" borderId="0" applyFont="0" applyFill="0" applyBorder="0" applyAlignment="0" applyProtection="0">
      <alignment vertical="center"/>
    </xf>
    <xf numFmtId="0" fontId="25" fillId="0" borderId="0" applyNumberFormat="0" applyFill="0" applyBorder="0" applyAlignment="0" applyProtection="0">
      <alignment vertical="center"/>
    </xf>
    <xf numFmtId="0" fontId="26" fillId="0" borderId="0" applyNumberFormat="0" applyFill="0" applyBorder="0" applyAlignment="0" applyProtection="0">
      <alignment vertical="center"/>
    </xf>
    <xf numFmtId="0" fontId="24" fillId="5" borderId="6" applyNumberFormat="0" applyFont="0" applyAlignment="0" applyProtection="0">
      <alignment vertical="center"/>
    </xf>
    <xf numFmtId="0" fontId="27" fillId="0" borderId="0" applyNumberFormat="0" applyFill="0" applyBorder="0" applyAlignment="0" applyProtection="0">
      <alignment vertical="center"/>
    </xf>
    <xf numFmtId="0" fontId="28" fillId="0" borderId="0" applyNumberFormat="0" applyFill="0" applyBorder="0" applyAlignment="0" applyProtection="0">
      <alignment vertical="center"/>
    </xf>
    <xf numFmtId="0" fontId="29" fillId="0" borderId="0" applyNumberFormat="0" applyFill="0" applyBorder="0" applyAlignment="0" applyProtection="0">
      <alignment vertical="center"/>
    </xf>
    <xf numFmtId="0" fontId="30" fillId="0" borderId="7" applyNumberFormat="0" applyFill="0" applyAlignment="0" applyProtection="0">
      <alignment vertical="center"/>
    </xf>
    <xf numFmtId="0" fontId="31" fillId="0" borderId="7" applyNumberFormat="0" applyFill="0" applyAlignment="0" applyProtection="0">
      <alignment vertical="center"/>
    </xf>
    <xf numFmtId="0" fontId="32" fillId="0" borderId="8" applyNumberFormat="0" applyFill="0" applyAlignment="0" applyProtection="0">
      <alignment vertical="center"/>
    </xf>
    <xf numFmtId="0" fontId="32" fillId="0" borderId="0" applyNumberFormat="0" applyFill="0" applyBorder="0" applyAlignment="0" applyProtection="0">
      <alignment vertical="center"/>
    </xf>
    <xf numFmtId="0" fontId="33" fillId="6" borderId="9" applyNumberFormat="0" applyAlignment="0" applyProtection="0">
      <alignment vertical="center"/>
    </xf>
    <xf numFmtId="0" fontId="34" fillId="7" borderId="10" applyNumberFormat="0" applyAlignment="0" applyProtection="0">
      <alignment vertical="center"/>
    </xf>
    <xf numFmtId="0" fontId="35" fillId="7" borderId="9" applyNumberFormat="0" applyAlignment="0" applyProtection="0">
      <alignment vertical="center"/>
    </xf>
    <xf numFmtId="0" fontId="36" fillId="8" borderId="11" applyNumberFormat="0" applyAlignment="0" applyProtection="0">
      <alignment vertical="center"/>
    </xf>
    <xf numFmtId="0" fontId="37" fillId="0" borderId="12" applyNumberFormat="0" applyFill="0" applyAlignment="0" applyProtection="0">
      <alignment vertical="center"/>
    </xf>
    <xf numFmtId="0" fontId="38" fillId="0" borderId="13" applyNumberFormat="0" applyFill="0" applyAlignment="0" applyProtection="0">
      <alignment vertical="center"/>
    </xf>
    <xf numFmtId="0" fontId="39" fillId="9" borderId="0" applyNumberFormat="0" applyBorder="0" applyAlignment="0" applyProtection="0">
      <alignment vertical="center"/>
    </xf>
    <xf numFmtId="0" fontId="40" fillId="10" borderId="0" applyNumberFormat="0" applyBorder="0" applyAlignment="0" applyProtection="0">
      <alignment vertical="center"/>
    </xf>
    <xf numFmtId="0" fontId="41" fillId="11" borderId="0" applyNumberFormat="0" applyBorder="0" applyAlignment="0" applyProtection="0">
      <alignment vertical="center"/>
    </xf>
    <xf numFmtId="0" fontId="42" fillId="12" borderId="0" applyNumberFormat="0" applyBorder="0" applyAlignment="0" applyProtection="0">
      <alignment vertical="center"/>
    </xf>
    <xf numFmtId="0" fontId="43" fillId="13" borderId="0" applyNumberFormat="0" applyBorder="0" applyAlignment="0" applyProtection="0">
      <alignment vertical="center"/>
    </xf>
    <xf numFmtId="0" fontId="43" fillId="14" borderId="0" applyNumberFormat="0" applyBorder="0" applyAlignment="0" applyProtection="0">
      <alignment vertical="center"/>
    </xf>
    <xf numFmtId="0" fontId="42" fillId="15" borderId="0" applyNumberFormat="0" applyBorder="0" applyAlignment="0" applyProtection="0">
      <alignment vertical="center"/>
    </xf>
    <xf numFmtId="0" fontId="42" fillId="16" borderId="0" applyNumberFormat="0" applyBorder="0" applyAlignment="0" applyProtection="0">
      <alignment vertical="center"/>
    </xf>
    <xf numFmtId="0" fontId="43" fillId="17" borderId="0" applyNumberFormat="0" applyBorder="0" applyAlignment="0" applyProtection="0">
      <alignment vertical="center"/>
    </xf>
    <xf numFmtId="0" fontId="43" fillId="18" borderId="0" applyNumberFormat="0" applyBorder="0" applyAlignment="0" applyProtection="0">
      <alignment vertical="center"/>
    </xf>
    <xf numFmtId="0" fontId="42" fillId="19" borderId="0" applyNumberFormat="0" applyBorder="0" applyAlignment="0" applyProtection="0">
      <alignment vertical="center"/>
    </xf>
    <xf numFmtId="0" fontId="42" fillId="20" borderId="0" applyNumberFormat="0" applyBorder="0" applyAlignment="0" applyProtection="0">
      <alignment vertical="center"/>
    </xf>
    <xf numFmtId="0" fontId="43" fillId="21" borderId="0" applyNumberFormat="0" applyBorder="0" applyAlignment="0" applyProtection="0">
      <alignment vertical="center"/>
    </xf>
    <xf numFmtId="0" fontId="43" fillId="22" borderId="0" applyNumberFormat="0" applyBorder="0" applyAlignment="0" applyProtection="0">
      <alignment vertical="center"/>
    </xf>
    <xf numFmtId="0" fontId="42" fillId="23" borderId="0" applyNumberFormat="0" applyBorder="0" applyAlignment="0" applyProtection="0">
      <alignment vertical="center"/>
    </xf>
    <xf numFmtId="0" fontId="42" fillId="24" borderId="0" applyNumberFormat="0" applyBorder="0" applyAlignment="0" applyProtection="0">
      <alignment vertical="center"/>
    </xf>
    <xf numFmtId="0" fontId="43" fillId="25" borderId="0" applyNumberFormat="0" applyBorder="0" applyAlignment="0" applyProtection="0">
      <alignment vertical="center"/>
    </xf>
    <xf numFmtId="0" fontId="43" fillId="26" borderId="0" applyNumberFormat="0" applyBorder="0" applyAlignment="0" applyProtection="0">
      <alignment vertical="center"/>
    </xf>
    <xf numFmtId="0" fontId="42" fillId="27" borderId="0" applyNumberFormat="0" applyBorder="0" applyAlignment="0" applyProtection="0">
      <alignment vertical="center"/>
    </xf>
    <xf numFmtId="0" fontId="42" fillId="28" borderId="0" applyNumberFormat="0" applyBorder="0" applyAlignment="0" applyProtection="0">
      <alignment vertical="center"/>
    </xf>
    <xf numFmtId="0" fontId="43" fillId="29" borderId="0" applyNumberFormat="0" applyBorder="0" applyAlignment="0" applyProtection="0">
      <alignment vertical="center"/>
    </xf>
    <xf numFmtId="0" fontId="43" fillId="30" borderId="0" applyNumberFormat="0" applyBorder="0" applyAlignment="0" applyProtection="0">
      <alignment vertical="center"/>
    </xf>
    <xf numFmtId="0" fontId="42" fillId="31" borderId="0" applyNumberFormat="0" applyBorder="0" applyAlignment="0" applyProtection="0">
      <alignment vertical="center"/>
    </xf>
    <xf numFmtId="0" fontId="42" fillId="32" borderId="0" applyNumberFormat="0" applyBorder="0" applyAlignment="0" applyProtection="0">
      <alignment vertical="center"/>
    </xf>
    <xf numFmtId="0" fontId="43" fillId="33" borderId="0" applyNumberFormat="0" applyBorder="0" applyAlignment="0" applyProtection="0">
      <alignment vertical="center"/>
    </xf>
    <xf numFmtId="0" fontId="43" fillId="34" borderId="0" applyNumberFormat="0" applyBorder="0" applyAlignment="0" applyProtection="0">
      <alignment vertical="center"/>
    </xf>
    <xf numFmtId="0" fontId="42" fillId="35" borderId="0" applyNumberFormat="0" applyBorder="0" applyAlignment="0" applyProtection="0">
      <alignment vertical="center"/>
    </xf>
    <xf numFmtId="0" fontId="0" fillId="0" borderId="0"/>
    <xf numFmtId="0" fontId="44" fillId="0" borderId="0"/>
    <xf numFmtId="0" fontId="24" fillId="0" borderId="0"/>
    <xf numFmtId="0" fontId="45" fillId="36" borderId="0">
      <alignment vertical="center"/>
    </xf>
    <xf numFmtId="0" fontId="46" fillId="0" borderId="0"/>
    <xf numFmtId="0" fontId="0" fillId="0" borderId="0"/>
    <xf numFmtId="0" fontId="0" fillId="0" borderId="0"/>
    <xf numFmtId="0" fontId="0" fillId="0" borderId="0">
      <alignment vertical="center"/>
    </xf>
    <xf numFmtId="0" fontId="0" fillId="0" borderId="0">
      <alignment vertical="center"/>
    </xf>
    <xf numFmtId="0" fontId="24" fillId="0" borderId="0">
      <alignment vertical="center"/>
    </xf>
    <xf numFmtId="0" fontId="47" fillId="0" borderId="0" applyNumberFormat="0" applyFill="0" applyBorder="0" applyAlignment="0" applyProtection="0">
      <alignment vertical="center"/>
    </xf>
    <xf numFmtId="0" fontId="0" fillId="0" borderId="0">
      <alignment vertical="center"/>
    </xf>
    <xf numFmtId="0" fontId="0" fillId="0" borderId="0">
      <alignment vertical="center"/>
    </xf>
    <xf numFmtId="0" fontId="0" fillId="0" borderId="0">
      <alignment vertical="center"/>
    </xf>
    <xf numFmtId="0" fontId="24" fillId="0" borderId="0"/>
    <xf numFmtId="0" fontId="48" fillId="37" borderId="0">
      <alignment vertical="center"/>
    </xf>
  </cellStyleXfs>
  <cellXfs count="79">
    <xf numFmtId="0" fontId="0" fillId="0" borderId="0" xfId="0">
      <alignment vertical="center"/>
    </xf>
    <xf numFmtId="0" fontId="1" fillId="0" borderId="0" xfId="0" applyNumberFormat="1" applyFont="1" applyFill="1" applyBorder="1" applyAlignment="1">
      <alignment vertical="center"/>
    </xf>
    <xf numFmtId="0" fontId="1" fillId="0" borderId="0" xfId="0" applyFont="1" applyAlignment="1">
      <alignment horizontal="center"/>
    </xf>
    <xf numFmtId="0" fontId="1" fillId="0" borderId="0" xfId="0" applyFont="1">
      <alignment vertical="center"/>
    </xf>
    <xf numFmtId="0" fontId="1" fillId="2" borderId="0" xfId="0" applyNumberFormat="1" applyFont="1" applyFill="1" applyBorder="1" applyAlignment="1">
      <alignment vertical="center"/>
    </xf>
    <xf numFmtId="0" fontId="1" fillId="2" borderId="0" xfId="0" applyNumberFormat="1" applyFont="1" applyFill="1" applyBorder="1" applyAlignment="1">
      <alignment horizontal="left" vertical="center"/>
    </xf>
    <xf numFmtId="0" fontId="1" fillId="2" borderId="0" xfId="0" applyFont="1" applyFill="1" applyAlignment="1">
      <alignment horizontal="center"/>
    </xf>
    <xf numFmtId="0" fontId="1" fillId="2" borderId="0" xfId="0" applyFont="1" applyFill="1" applyAlignment="1">
      <alignment horizontal="left" vertical="center"/>
    </xf>
    <xf numFmtId="0" fontId="1" fillId="2" borderId="0" xfId="0" applyFont="1" applyFill="1">
      <alignment vertical="center"/>
    </xf>
    <xf numFmtId="0" fontId="2" fillId="0" borderId="0" xfId="0" applyNumberFormat="1" applyFont="1" applyFill="1" applyBorder="1" applyAlignment="1">
      <alignment horizontal="center" vertical="center"/>
    </xf>
    <xf numFmtId="0" fontId="3" fillId="0" borderId="0" xfId="0" applyNumberFormat="1" applyFont="1" applyFill="1" applyBorder="1" applyAlignment="1">
      <alignment horizontal="center" vertical="center"/>
    </xf>
    <xf numFmtId="0" fontId="3" fillId="0" borderId="0" xfId="0" applyNumberFormat="1" applyFont="1" applyFill="1" applyBorder="1" applyAlignment="1">
      <alignment horizontal="center" vertical="center" wrapText="1"/>
    </xf>
    <xf numFmtId="0" fontId="4" fillId="0" borderId="0" xfId="0" applyNumberFormat="1" applyFont="1" applyFill="1" applyBorder="1" applyAlignment="1">
      <alignment horizontal="center" vertical="center"/>
    </xf>
    <xf numFmtId="0" fontId="3" fillId="0" borderId="0" xfId="0" applyNumberFormat="1" applyFont="1" applyFill="1" applyBorder="1" applyAlignment="1">
      <alignment horizontal="left" vertical="center"/>
    </xf>
    <xf numFmtId="0" fontId="5" fillId="3" borderId="1" xfId="0" applyFont="1" applyFill="1" applyBorder="1" applyAlignment="1">
      <alignment horizontal="center" vertical="center"/>
    </xf>
    <xf numFmtId="0" fontId="2" fillId="0" borderId="0" xfId="0" applyFont="1" applyAlignment="1">
      <alignment horizontal="left" vertical="center"/>
    </xf>
    <xf numFmtId="0" fontId="6" fillId="0" borderId="1" xfId="0" applyFont="1" applyBorder="1" applyAlignment="1">
      <alignment horizontal="center" vertical="center"/>
    </xf>
    <xf numFmtId="0" fontId="4" fillId="0" borderId="1" xfId="0" applyFont="1" applyBorder="1" applyAlignment="1">
      <alignment horizontal="left" vertical="center"/>
    </xf>
    <xf numFmtId="0" fontId="7" fillId="0" borderId="1" xfId="0" applyFont="1" applyBorder="1" applyAlignment="1">
      <alignment horizontal="center" vertical="center"/>
    </xf>
    <xf numFmtId="0" fontId="3" fillId="0" borderId="0" xfId="0" applyFont="1" applyAlignment="1">
      <alignment horizontal="left" vertical="center"/>
    </xf>
    <xf numFmtId="0" fontId="6" fillId="0" borderId="1" xfId="0" applyFont="1" applyBorder="1" applyAlignment="1">
      <alignment horizontal="center" vertical="center" wrapText="1"/>
    </xf>
    <xf numFmtId="0" fontId="4" fillId="0" borderId="1" xfId="0" applyFont="1" applyBorder="1" applyAlignment="1">
      <alignment horizontal="left" vertical="center" wrapText="1"/>
    </xf>
    <xf numFmtId="0" fontId="4" fillId="0" borderId="1" xfId="0" applyFont="1" applyBorder="1" applyAlignment="1">
      <alignment horizontal="center" vertical="center" wrapText="1"/>
    </xf>
    <xf numFmtId="0" fontId="3" fillId="0" borderId="0" xfId="0" applyFont="1" applyAlignment="1">
      <alignment horizontal="left" vertical="center" wrapText="1"/>
    </xf>
    <xf numFmtId="0" fontId="8" fillId="0" borderId="1" xfId="0" applyFont="1" applyBorder="1" applyAlignment="1">
      <alignment horizontal="center" vertical="center" wrapText="1"/>
    </xf>
    <xf numFmtId="0" fontId="9" fillId="0" borderId="1" xfId="0" applyFont="1" applyBorder="1" applyAlignment="1">
      <alignment horizontal="left" vertical="center" wrapText="1"/>
    </xf>
    <xf numFmtId="0" fontId="10" fillId="0" borderId="1" xfId="0" applyFont="1" applyBorder="1" applyAlignment="1">
      <alignment horizontal="center" vertical="center" wrapText="1"/>
    </xf>
    <xf numFmtId="0" fontId="11" fillId="0" borderId="1" xfId="0" applyFont="1" applyBorder="1" applyAlignment="1">
      <alignment horizontal="left" vertical="center" wrapText="1"/>
    </xf>
    <xf numFmtId="0" fontId="4" fillId="0" borderId="2" xfId="0" applyFont="1" applyBorder="1" applyAlignment="1">
      <alignment horizontal="left" vertical="center" wrapText="1"/>
    </xf>
    <xf numFmtId="0" fontId="12" fillId="0" borderId="1" xfId="0" applyFont="1" applyBorder="1" applyAlignment="1">
      <alignment horizontal="center" vertical="center"/>
    </xf>
    <xf numFmtId="0" fontId="4" fillId="0" borderId="3" xfId="0" applyFont="1" applyBorder="1" applyAlignment="1">
      <alignment horizontal="left" vertical="center" wrapText="1"/>
    </xf>
    <xf numFmtId="0" fontId="4" fillId="0" borderId="2" xfId="0" applyFont="1" applyBorder="1" applyAlignment="1">
      <alignment horizontal="left" vertical="center"/>
    </xf>
    <xf numFmtId="176" fontId="6" fillId="0" borderId="1" xfId="0" applyNumberFormat="1" applyFont="1" applyBorder="1" applyAlignment="1">
      <alignment horizontal="center" vertical="center" wrapText="1"/>
    </xf>
    <xf numFmtId="0" fontId="4" fillId="0" borderId="4" xfId="0" applyFont="1" applyBorder="1" applyAlignment="1">
      <alignment horizontal="left" vertical="center" wrapText="1"/>
    </xf>
    <xf numFmtId="0" fontId="4" fillId="0" borderId="1" xfId="0" applyFont="1" applyBorder="1" applyAlignment="1">
      <alignment horizontal="center" vertical="center"/>
    </xf>
    <xf numFmtId="177" fontId="4" fillId="0" borderId="1" xfId="0" applyNumberFormat="1" applyFont="1" applyBorder="1" applyAlignment="1">
      <alignment horizontal="left" vertical="center"/>
    </xf>
    <xf numFmtId="0" fontId="3" fillId="0" borderId="0" xfId="0" applyFont="1" applyAlignment="1">
      <alignment horizontal="center" vertical="center"/>
    </xf>
    <xf numFmtId="0" fontId="13" fillId="0" borderId="1" xfId="6" applyFont="1" applyFill="1" applyBorder="1" applyAlignment="1">
      <alignment horizontal="left" vertical="center" wrapText="1"/>
    </xf>
    <xf numFmtId="0" fontId="14" fillId="0" borderId="1" xfId="0" applyFont="1" applyBorder="1" applyAlignment="1">
      <alignment horizontal="left" vertical="center" wrapText="1"/>
    </xf>
    <xf numFmtId="0" fontId="8" fillId="0" borderId="5" xfId="0" applyFont="1" applyBorder="1" applyAlignment="1">
      <alignment horizontal="center" vertical="center" wrapText="1"/>
    </xf>
    <xf numFmtId="0" fontId="15" fillId="0" borderId="5" xfId="0" applyFont="1" applyBorder="1" applyAlignment="1">
      <alignment horizontal="left" vertical="center" wrapText="1"/>
    </xf>
    <xf numFmtId="0" fontId="5" fillId="0" borderId="1" xfId="0" applyFont="1" applyBorder="1" applyAlignment="1">
      <alignment horizontal="center" vertical="center" wrapText="1"/>
    </xf>
    <xf numFmtId="0" fontId="15" fillId="0" borderId="0" xfId="0" applyFont="1" applyAlignment="1">
      <alignment vertical="center" wrapText="1"/>
    </xf>
    <xf numFmtId="0" fontId="16" fillId="0" borderId="0" xfId="0" applyNumberFormat="1" applyFont="1" applyFill="1" applyBorder="1" applyAlignment="1" applyProtection="1">
      <alignment vertical="center"/>
      <protection locked="0"/>
    </xf>
    <xf numFmtId="0" fontId="3" fillId="0" borderId="0" xfId="0" applyNumberFormat="1" applyFont="1" applyFill="1" applyBorder="1" applyAlignment="1">
      <alignment vertical="center"/>
    </xf>
    <xf numFmtId="177" fontId="3" fillId="0" borderId="0" xfId="0" applyNumberFormat="1" applyFont="1" applyFill="1" applyBorder="1" applyAlignment="1">
      <alignment vertical="center"/>
    </xf>
    <xf numFmtId="49" fontId="3" fillId="0" borderId="0" xfId="0" applyNumberFormat="1" applyFont="1" applyFill="1" applyBorder="1" applyAlignment="1">
      <alignment vertical="center"/>
    </xf>
    <xf numFmtId="0" fontId="6" fillId="4" borderId="1" xfId="0" applyFont="1" applyFill="1" applyBorder="1" applyAlignment="1">
      <alignment horizontal="center" vertical="center" wrapText="1"/>
    </xf>
    <xf numFmtId="49" fontId="6" fillId="4" borderId="1" xfId="0" applyNumberFormat="1" applyFont="1" applyFill="1" applyBorder="1" applyAlignment="1">
      <alignment horizontal="center" vertical="center" wrapText="1"/>
    </xf>
    <xf numFmtId="0" fontId="12" fillId="4" borderId="1" xfId="0" applyFont="1" applyFill="1" applyBorder="1" applyAlignment="1">
      <alignment horizontal="center" vertical="center" wrapText="1"/>
    </xf>
    <xf numFmtId="0" fontId="17" fillId="0" borderId="1" xfId="0" applyFont="1" applyBorder="1" applyAlignment="1">
      <alignment horizontal="center" vertical="center"/>
    </xf>
    <xf numFmtId="0" fontId="18" fillId="0" borderId="1" xfId="0" applyFont="1" applyBorder="1" applyAlignment="1">
      <alignment horizontal="center" vertical="center" wrapText="1"/>
    </xf>
    <xf numFmtId="0" fontId="18" fillId="0" borderId="1" xfId="0" applyFont="1" applyBorder="1" applyAlignment="1">
      <alignment horizontal="center" vertical="center"/>
    </xf>
    <xf numFmtId="0" fontId="17" fillId="0" borderId="0" xfId="0" applyFont="1">
      <alignment vertical="center"/>
    </xf>
    <xf numFmtId="0" fontId="19" fillId="0" borderId="0" xfId="0" applyFont="1" applyAlignment="1">
      <alignment horizontal="center" vertical="center" wrapText="1"/>
    </xf>
    <xf numFmtId="0" fontId="19" fillId="0" borderId="0" xfId="0" applyFont="1" applyAlignment="1">
      <alignment horizontal="center" vertical="center"/>
    </xf>
    <xf numFmtId="0" fontId="18" fillId="0" borderId="0" xfId="0" applyFont="1" applyAlignment="1">
      <alignment horizontal="center" vertical="center"/>
    </xf>
    <xf numFmtId="0" fontId="3" fillId="0" borderId="1" xfId="0" applyFont="1" applyBorder="1" applyAlignment="1">
      <alignment horizontal="center" vertical="center" wrapText="1"/>
    </xf>
    <xf numFmtId="0" fontId="3" fillId="0" borderId="1" xfId="0" applyFont="1" applyBorder="1" applyAlignment="1">
      <alignment horizontal="center" vertical="center"/>
    </xf>
    <xf numFmtId="0" fontId="3" fillId="0" borderId="0" xfId="0" applyFont="1" applyAlignment="1">
      <alignment horizontal="center" vertical="center" wrapText="1"/>
    </xf>
    <xf numFmtId="0" fontId="4" fillId="0" borderId="0" xfId="0" applyFont="1" applyAlignment="1">
      <alignment horizontal="center" vertical="center"/>
    </xf>
    <xf numFmtId="0" fontId="6" fillId="4" borderId="1" xfId="0" applyFont="1" applyFill="1" applyBorder="1" applyAlignment="1">
      <alignment horizontal="center" vertical="center"/>
    </xf>
    <xf numFmtId="176" fontId="6" fillId="4" borderId="1" xfId="0" applyNumberFormat="1" applyFont="1" applyFill="1" applyBorder="1" applyAlignment="1">
      <alignment horizontal="center" vertical="center" wrapText="1"/>
    </xf>
    <xf numFmtId="176" fontId="12" fillId="3" borderId="1" xfId="0" applyNumberFormat="1" applyFont="1" applyFill="1" applyBorder="1" applyAlignment="1">
      <alignment horizontal="center" vertical="center" wrapText="1"/>
    </xf>
    <xf numFmtId="177" fontId="6" fillId="3" borderId="1" xfId="0" applyNumberFormat="1" applyFont="1" applyFill="1" applyBorder="1" applyAlignment="1">
      <alignment horizontal="center" vertical="center" wrapText="1"/>
    </xf>
    <xf numFmtId="178" fontId="18" fillId="0" borderId="1" xfId="0" applyNumberFormat="1" applyFont="1" applyBorder="1" applyAlignment="1">
      <alignment horizontal="center" vertical="center" wrapText="1"/>
    </xf>
    <xf numFmtId="177" fontId="3" fillId="0" borderId="1" xfId="0" applyNumberFormat="1" applyFont="1" applyBorder="1" applyAlignment="1">
      <alignment horizontal="center" vertical="center"/>
    </xf>
    <xf numFmtId="178" fontId="19" fillId="0" borderId="0" xfId="0" applyNumberFormat="1" applyFont="1" applyAlignment="1">
      <alignment horizontal="center" vertical="center" wrapText="1"/>
    </xf>
    <xf numFmtId="177" fontId="3" fillId="0" borderId="0" xfId="0" applyNumberFormat="1" applyFont="1">
      <alignment vertical="center"/>
    </xf>
    <xf numFmtId="0" fontId="6" fillId="3" borderId="1" xfId="0" applyFont="1" applyFill="1" applyBorder="1" applyAlignment="1">
      <alignment horizontal="center" vertical="center"/>
    </xf>
    <xf numFmtId="0" fontId="12" fillId="3" borderId="1" xfId="0" applyFont="1" applyFill="1" applyBorder="1" applyAlignment="1">
      <alignment horizontal="center" vertical="center"/>
    </xf>
    <xf numFmtId="0" fontId="20" fillId="0" borderId="1" xfId="0" applyFont="1" applyBorder="1" applyAlignment="1">
      <alignment horizontal="center" vertical="center"/>
    </xf>
    <xf numFmtId="49" fontId="3" fillId="0" borderId="1" xfId="0" applyNumberFormat="1" applyFont="1" applyBorder="1" applyAlignment="1">
      <alignment horizontal="center" vertical="center"/>
    </xf>
    <xf numFmtId="0" fontId="21" fillId="0" borderId="0" xfId="0" applyFont="1">
      <alignment vertical="center"/>
    </xf>
    <xf numFmtId="49" fontId="3" fillId="0" borderId="0" xfId="0" applyNumberFormat="1" applyFont="1">
      <alignment vertical="center"/>
    </xf>
    <xf numFmtId="0" fontId="3" fillId="0" borderId="0" xfId="0" applyFont="1">
      <alignment vertical="center"/>
    </xf>
    <xf numFmtId="0" fontId="22" fillId="0" borderId="1" xfId="6" applyFont="1" applyFill="1" applyBorder="1" applyAlignment="1">
      <alignment horizontal="center" vertical="center"/>
    </xf>
    <xf numFmtId="0" fontId="23" fillId="0" borderId="0" xfId="0" applyFont="1" applyAlignment="1">
      <alignment horizontal="center" vertical="center"/>
    </xf>
    <xf numFmtId="0" fontId="18" fillId="0" borderId="0" xfId="0" applyFont="1">
      <alignment vertical="center"/>
    </xf>
  </cellXfs>
  <cellStyles count="65">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 6 2" xfId="49"/>
    <cellStyle name="常规 2_报关资料" xfId="50"/>
    <cellStyle name="常规 2" xfId="51"/>
    <cellStyle name="差_报关资料" xfId="52"/>
    <cellStyle name="常规 12" xfId="53"/>
    <cellStyle name="常规 3" xfId="54"/>
    <cellStyle name="常规 6 2 2 2" xfId="55"/>
    <cellStyle name="常规 13" xfId="56"/>
    <cellStyle name="Normal_货物情况说明" xfId="57"/>
    <cellStyle name="常规 10" xfId="58"/>
    <cellStyle name="超链接 2" xfId="59"/>
    <cellStyle name="Normale_Foglio1" xfId="60"/>
    <cellStyle name="常规 10 2 2" xfId="61"/>
    <cellStyle name="常规 2 2 2" xfId="62"/>
    <cellStyle name="常规 6" xfId="63"/>
    <cellStyle name="好_报关资料" xfId="64"/>
  </cellStyles>
  <dxfs count="21">
    <dxf>
      <font>
        <color rgb="FFFF0000"/>
      </font>
    </dxf>
    <dxf>
      <font>
        <color rgb="FFFF0000"/>
      </font>
    </dxf>
    <dxf>
      <font>
        <color rgb="FF9C0006"/>
      </font>
    </dxf>
    <dxf>
      <font>
        <color rgb="FF9C0006"/>
      </font>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10"/>
      <tableStyleElement type="headerRow" dxfId="9"/>
      <tableStyleElement type="totalRow" dxfId="8"/>
      <tableStyleElement type="firstColumn" dxfId="7"/>
      <tableStyleElement type="lastColumn" dxfId="6"/>
      <tableStyleElement type="firstRowStripe" dxfId="5"/>
      <tableStyleElement type="firstColumnStripe" dxfId="4"/>
    </tableStyle>
    <tableStyle name="PivotStylePreset2_Accent1" table="0" count="10" xr9:uid="{267968C8-6FFD-4C36-ACC1-9EA1FD1885CA}">
      <tableStyleElement type="headerRow" dxfId="20"/>
      <tableStyleElement type="totalRow" dxfId="19"/>
      <tableStyleElement type="firstRowStripe" dxfId="18"/>
      <tableStyleElement type="firstColumnStripe" dxfId="17"/>
      <tableStyleElement type="firstSubtotalRow" dxfId="16"/>
      <tableStyleElement type="secondSubtotalRow" dxfId="15"/>
      <tableStyleElement type="firstRowSubheading" dxfId="14"/>
      <tableStyleElement type="secondRowSubheading" dxfId="13"/>
      <tableStyleElement type="pageFieldLabels" dxfId="12"/>
      <tableStyleElement type="pageFieldValues" dxfId="11"/>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7" Type="http://schemas.openxmlformats.org/officeDocument/2006/relationships/sharedStrings" Target="sharedStrings.xml"/><Relationship Id="rId6" Type="http://schemas.openxmlformats.org/officeDocument/2006/relationships/theme" Target="theme/theme1.xml"/><Relationship Id="rId5" Type="http://schemas.openxmlformats.org/officeDocument/2006/relationships/customXml" Target="../customXml/item1.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2007-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Cambria-Calibri">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atMod val="350000"/>
                <a:shade val="99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_rels/sheet1.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comments" Target="../comments1.xml"/></Relationships>
</file>

<file path=xl/worksheets/_rels/sheet2.xml.rels><?xml version="1.0" encoding="UTF-8" standalone="yes"?>
<Relationships xmlns="http://schemas.openxmlformats.org/package/2006/relationships"><Relationship Id="rId4" Type="http://schemas.openxmlformats.org/officeDocument/2006/relationships/hyperlink" Target="mailto:info@ddd,de&#65288;&#36887;&#21495;&#65289;&#12289;INFO@DDD.DE&#65288;&#22823;&#20889;&#65289;&#12289;info@ddd&#20844;&#21496;.de&#65288;&#20013;&#25991;&#23383;&#31526;&#65289;&#12289;info@ddd&#65288;&#32570;&#22495;&#21517;&#21518;&#32512;&#65289;" TargetMode="External"/><Relationship Id="rId3" Type="http://schemas.openxmlformats.org/officeDocument/2006/relationships/hyperlink" Target="mailto:info@ddd.de&#12289;contact@example.com&#12289;sales@procent.pl" TargetMode="External"/><Relationship Id="rId2" Type="http://schemas.openxmlformats.org/officeDocument/2006/relationships/hyperlink" Target="https://www.amazon.com/dp/B0BZ1234567" TargetMode="External"/><Relationship Id="rId1" Type="http://schemas.openxmlformats.org/officeDocument/2006/relationships/hyperlink" Target="http://202.127.48.145:8888/zscg/search/jsp/vBrandSearchIndex.jsp"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W206"/>
  <sheetViews>
    <sheetView tabSelected="1" zoomScale="85" zoomScaleNormal="85" workbookViewId="0">
      <pane xSplit="2" ySplit="1" topLeftCell="AK2" activePane="bottomRight" state="frozen"/>
      <selection/>
      <selection pane="topRight"/>
      <selection pane="bottomLeft"/>
      <selection pane="bottomRight" activeCell="AQ15" sqref="AQ15"/>
    </sheetView>
  </sheetViews>
  <sheetFormatPr defaultColWidth="8.83333333333333" defaultRowHeight="17.25"/>
  <cols>
    <col min="1" max="1" width="9.35833333333333" style="44" customWidth="1"/>
    <col min="2" max="2" width="27.0083333333333" style="44" customWidth="1"/>
    <col min="3" max="3" width="11.9166666666667" style="44" customWidth="1"/>
    <col min="4" max="4" width="13.0666666666667" style="44" customWidth="1"/>
    <col min="5" max="5" width="22.625" style="44" customWidth="1"/>
    <col min="6" max="6" width="12.875" style="44" customWidth="1"/>
    <col min="7" max="7" width="22.125" style="44" customWidth="1"/>
    <col min="8" max="8" width="17.7166666666667" style="44" customWidth="1"/>
    <col min="9" max="9" width="12.7166666666667" style="44" customWidth="1"/>
    <col min="10" max="10" width="14.9416666666667" style="44" customWidth="1"/>
    <col min="11" max="11" width="9" style="44"/>
    <col min="12" max="12" width="12.2083333333333" style="44" customWidth="1"/>
    <col min="13" max="13" width="6.75" style="44" customWidth="1"/>
    <col min="14" max="14" width="9" style="44"/>
    <col min="15" max="15" width="9.25" style="44" customWidth="1"/>
    <col min="16" max="16" width="9" style="44"/>
    <col min="17" max="17" width="10.9166666666667" style="44" customWidth="1"/>
    <col min="18" max="18" width="11" style="44" customWidth="1"/>
    <col min="19" max="19" width="12.2083333333333" style="44" customWidth="1"/>
    <col min="20" max="20" width="13.0666666666667" style="44" customWidth="1"/>
    <col min="21" max="21" width="12.6416666666667" style="44" customWidth="1"/>
    <col min="22" max="22" width="10.775" style="44" customWidth="1"/>
    <col min="23" max="23" width="10.625" style="44" customWidth="1"/>
    <col min="24" max="24" width="17.5" style="44" customWidth="1"/>
    <col min="25" max="27" width="9" style="44"/>
    <col min="28" max="28" width="31.7583333333333" style="44" customWidth="1"/>
    <col min="29" max="29" width="23.5833333333333" style="44" customWidth="1"/>
    <col min="30" max="30" width="20.6666666666667" style="44" customWidth="1"/>
    <col min="31" max="31" width="18.4166666666667" style="44" customWidth="1"/>
    <col min="32" max="32" width="21.8333333333333" style="45" customWidth="1"/>
    <col min="33" max="33" width="17.3333333333333" style="44" customWidth="1"/>
    <col min="34" max="34" width="16.5" style="46" customWidth="1"/>
    <col min="35" max="35" width="13.8583333333333" style="44" customWidth="1"/>
    <col min="36" max="36" width="46.7833333333333" style="44" customWidth="1"/>
    <col min="37" max="37" width="15.3333333333333" style="44" customWidth="1"/>
    <col min="38" max="39" width="13.8583333333333" style="44" customWidth="1"/>
    <col min="40" max="40" width="36" style="44" customWidth="1"/>
    <col min="41" max="41" width="19.375" style="44" customWidth="1"/>
    <col min="42" max="42" width="16.5" style="44" customWidth="1"/>
    <col min="43" max="43" width="19.375" style="44" customWidth="1"/>
    <col min="44" max="44" width="34.75" style="44" customWidth="1"/>
    <col min="45" max="45" width="16.5" style="44" customWidth="1"/>
    <col min="46" max="46" width="12.925" style="44" customWidth="1"/>
    <col min="47" max="47" width="12" style="44" customWidth="1"/>
    <col min="48" max="48" width="10.4166666666667" style="44" customWidth="1"/>
    <col min="49" max="49" width="9" style="44"/>
  </cols>
  <sheetData>
    <row r="1" s="43" customFormat="1" ht="42" spans="1:49">
      <c r="A1" s="47" t="s">
        <v>0</v>
      </c>
      <c r="B1" s="47" t="s">
        <v>1</v>
      </c>
      <c r="C1" s="47" t="s">
        <v>2</v>
      </c>
      <c r="D1" s="48" t="s">
        <v>3</v>
      </c>
      <c r="E1" s="49" t="s">
        <v>4</v>
      </c>
      <c r="F1" s="48" t="s">
        <v>5</v>
      </c>
      <c r="G1" s="47" t="s">
        <v>6</v>
      </c>
      <c r="H1" s="47" t="s">
        <v>7</v>
      </c>
      <c r="I1" s="47" t="s">
        <v>8</v>
      </c>
      <c r="J1" s="47" t="s">
        <v>9</v>
      </c>
      <c r="K1" s="49" t="s">
        <v>10</v>
      </c>
      <c r="L1" s="47" t="s">
        <v>11</v>
      </c>
      <c r="M1" s="47" t="s">
        <v>12</v>
      </c>
      <c r="N1" s="47" t="s">
        <v>13</v>
      </c>
      <c r="O1" s="49" t="s">
        <v>14</v>
      </c>
      <c r="P1" s="49" t="s">
        <v>15</v>
      </c>
      <c r="Q1" s="47" t="s">
        <v>16</v>
      </c>
      <c r="R1" s="47" t="s">
        <v>17</v>
      </c>
      <c r="S1" s="47" t="s">
        <v>18</v>
      </c>
      <c r="T1" s="47" t="s">
        <v>19</v>
      </c>
      <c r="U1" s="47" t="s">
        <v>20</v>
      </c>
      <c r="V1" s="47" t="s">
        <v>21</v>
      </c>
      <c r="W1" s="47" t="s">
        <v>22</v>
      </c>
      <c r="X1" s="47" t="s">
        <v>23</v>
      </c>
      <c r="Y1" s="47" t="s">
        <v>24</v>
      </c>
      <c r="Z1" s="47" t="s">
        <v>25</v>
      </c>
      <c r="AA1" s="47" t="s">
        <v>26</v>
      </c>
      <c r="AB1" s="61" t="s">
        <v>27</v>
      </c>
      <c r="AC1" s="62" t="s">
        <v>28</v>
      </c>
      <c r="AD1" s="63" t="s">
        <v>29</v>
      </c>
      <c r="AE1" s="63" t="s">
        <v>30</v>
      </c>
      <c r="AF1" s="64" t="s">
        <v>31</v>
      </c>
      <c r="AG1" s="69" t="s">
        <v>32</v>
      </c>
      <c r="AH1" s="69" t="s">
        <v>33</v>
      </c>
      <c r="AI1" s="69" t="s">
        <v>34</v>
      </c>
      <c r="AJ1" s="69" t="s">
        <v>35</v>
      </c>
      <c r="AK1" s="69" t="s">
        <v>36</v>
      </c>
      <c r="AL1" s="70" t="s">
        <v>37</v>
      </c>
      <c r="AM1" s="69" t="s">
        <v>38</v>
      </c>
      <c r="AN1" s="70" t="s">
        <v>39</v>
      </c>
      <c r="AO1" s="69" t="s">
        <v>40</v>
      </c>
      <c r="AP1" s="69" t="s">
        <v>41</v>
      </c>
      <c r="AQ1" s="70" t="s">
        <v>42</v>
      </c>
      <c r="AR1" s="69" t="s">
        <v>43</v>
      </c>
      <c r="AS1" s="69" t="s">
        <v>44</v>
      </c>
      <c r="AT1" s="69" t="s">
        <v>45</v>
      </c>
      <c r="AU1" s="70" t="s">
        <v>46</v>
      </c>
      <c r="AV1" s="70" t="s">
        <v>47</v>
      </c>
      <c r="AW1" s="70" t="s">
        <v>48</v>
      </c>
    </row>
    <row r="2" s="44" customFormat="1" ht="37" customHeight="1" spans="1:49">
      <c r="A2" s="50">
        <v>1</v>
      </c>
      <c r="B2" s="51"/>
      <c r="C2" s="52"/>
      <c r="D2" s="51"/>
      <c r="E2" s="52"/>
      <c r="F2" s="52"/>
      <c r="G2" s="52"/>
      <c r="H2" s="51"/>
      <c r="I2" s="52"/>
      <c r="J2" s="57"/>
      <c r="K2" s="51"/>
      <c r="L2" s="51"/>
      <c r="M2" s="58"/>
      <c r="N2" s="51"/>
      <c r="O2" s="52"/>
      <c r="P2" s="52"/>
      <c r="Q2" s="52"/>
      <c r="R2" s="52">
        <f>Q2*N2</f>
        <v>0</v>
      </c>
      <c r="S2" s="52"/>
      <c r="T2" s="52">
        <f>R2*S2</f>
        <v>0</v>
      </c>
      <c r="U2" s="52"/>
      <c r="V2" s="51"/>
      <c r="W2" s="51"/>
      <c r="X2" s="51" t="s">
        <v>49</v>
      </c>
      <c r="Y2" s="65"/>
      <c r="Z2" s="65"/>
      <c r="AA2" s="65"/>
      <c r="AB2" s="52"/>
      <c r="AC2" s="51" t="s">
        <v>50</v>
      </c>
      <c r="AD2" s="58"/>
      <c r="AE2" s="58"/>
      <c r="AF2" s="66">
        <v>46121.7829166667</v>
      </c>
      <c r="AG2" s="71" t="s">
        <v>51</v>
      </c>
      <c r="AH2" s="72" t="s">
        <v>52</v>
      </c>
      <c r="AI2" s="58" t="str">
        <f>IF(AH2="","",VLOOKUP(AH2,新版仓库编码!C:L,10,0))</f>
        <v>US</v>
      </c>
      <c r="AJ2" s="58" t="str">
        <f>IF(AH2="","",VLOOKUP(AH2,新版仓库编码!C:H,3,0))</f>
        <v>6835 West Buckeye Road</v>
      </c>
      <c r="AK2" s="58" t="str">
        <f>IF(AH2="","",VLOOKUP(AH2,新版仓库编码!C:H,6,0))</f>
        <v>85043</v>
      </c>
      <c r="AL2" s="58" t="str">
        <f>IF(AH2="","",VLOOKUP(AH2,新版仓库编码!C:L,4,0))</f>
        <v>AZ</v>
      </c>
      <c r="AM2" s="58" t="str">
        <f>IF(AH2="","",VLOOKUP(AH2,新版仓库编码!C:K,5,0))</f>
        <v>Phoenix</v>
      </c>
      <c r="AN2" s="58" t="str">
        <f>IF(AH2="","",VLOOKUP(AH2,新版仓库编码!C:L,8,0))</f>
        <v>Amazon Fulfillment Center  PHX3</v>
      </c>
      <c r="AO2" s="58" t="str">
        <f>IF(AH2="","",VLOOKUP(AH2,新版仓库编码!C:K,7,0))</f>
        <v>Amazon  PHX3</v>
      </c>
      <c r="AP2" s="58" t="str">
        <f>IF(AH2="","",VLOOKUP(AH2,新版仓库编码!C:K,9,0))</f>
        <v>0000000000</v>
      </c>
      <c r="AQ2" s="58"/>
      <c r="AR2" s="58"/>
      <c r="AS2" s="58"/>
      <c r="AT2" s="58"/>
      <c r="AU2" s="52"/>
      <c r="AV2" s="58"/>
      <c r="AW2" s="58"/>
    </row>
    <row r="3" s="44" customFormat="1" ht="37" customHeight="1" spans="1:49">
      <c r="A3" s="50"/>
      <c r="B3" s="51"/>
      <c r="C3" s="52"/>
      <c r="D3" s="51"/>
      <c r="E3" s="52"/>
      <c r="F3" s="52"/>
      <c r="G3" s="52"/>
      <c r="H3" s="51"/>
      <c r="I3" s="52"/>
      <c r="J3" s="57"/>
      <c r="K3" s="51"/>
      <c r="L3" s="51"/>
      <c r="M3" s="58"/>
      <c r="N3" s="51"/>
      <c r="O3" s="52"/>
      <c r="P3" s="52"/>
      <c r="Q3" s="52"/>
      <c r="R3" s="52">
        <f>Q3*N3</f>
        <v>0</v>
      </c>
      <c r="S3" s="52"/>
      <c r="T3" s="52">
        <f>R3*S3</f>
        <v>0</v>
      </c>
      <c r="U3" s="52"/>
      <c r="V3" s="51"/>
      <c r="W3" s="51"/>
      <c r="X3" s="51"/>
      <c r="Y3" s="65"/>
      <c r="Z3" s="65"/>
      <c r="AA3" s="65"/>
      <c r="AB3" s="52"/>
      <c r="AC3" s="51"/>
      <c r="AD3" s="58"/>
      <c r="AE3" s="58"/>
      <c r="AF3" s="66"/>
      <c r="AG3" s="71"/>
      <c r="AH3" s="72"/>
      <c r="AI3" s="58" t="str">
        <f>IF(AH3="","",VLOOKUP(AH3,新版仓库编码!C:L,10,0))</f>
        <v/>
      </c>
      <c r="AJ3" s="58" t="str">
        <f>IF(AH3="","",VLOOKUP(AH3,新版仓库编码!C:H,3,0))</f>
        <v/>
      </c>
      <c r="AK3" s="58" t="str">
        <f>IF(AH3="","",VLOOKUP(AH3,新版仓库编码!C:H,6,0))</f>
        <v/>
      </c>
      <c r="AL3" s="58" t="str">
        <f>IF(AH3="","",VLOOKUP(AH3,新版仓库编码!C:L,4,0))</f>
        <v/>
      </c>
      <c r="AM3" s="58" t="str">
        <f>IF(AH3="","",VLOOKUP(AH3,新版仓库编码!C:K,5,0))</f>
        <v/>
      </c>
      <c r="AN3" s="58" t="str">
        <f>IF(AH3="","",VLOOKUP(AH3,新版仓库编码!C:L,8,0))</f>
        <v/>
      </c>
      <c r="AO3" s="58" t="str">
        <f>IF(AH3="","",VLOOKUP(AH3,新版仓库编码!C:K,7,0))</f>
        <v/>
      </c>
      <c r="AP3" s="58" t="str">
        <f>IF(AH3="","",VLOOKUP(AH3,新版仓库编码!C:K,9,0))</f>
        <v/>
      </c>
      <c r="AQ3" s="58"/>
      <c r="AR3" s="58"/>
      <c r="AS3" s="58"/>
      <c r="AT3" s="58"/>
      <c r="AU3" s="52"/>
      <c r="AV3" s="58"/>
      <c r="AW3" s="58"/>
    </row>
    <row r="4" s="44" customFormat="1" ht="37" customHeight="1" spans="1:49">
      <c r="A4" s="50"/>
      <c r="B4" s="51"/>
      <c r="C4" s="52"/>
      <c r="D4" s="51"/>
      <c r="E4" s="52"/>
      <c r="F4" s="52"/>
      <c r="G4" s="52"/>
      <c r="H4" s="51"/>
      <c r="I4" s="52"/>
      <c r="J4" s="57"/>
      <c r="K4" s="51"/>
      <c r="L4" s="51"/>
      <c r="M4" s="58"/>
      <c r="N4" s="51"/>
      <c r="O4" s="52"/>
      <c r="P4" s="52"/>
      <c r="Q4" s="52"/>
      <c r="R4" s="52">
        <f>Q4*N4</f>
        <v>0</v>
      </c>
      <c r="S4" s="52"/>
      <c r="T4" s="52">
        <f>R4*S4</f>
        <v>0</v>
      </c>
      <c r="U4" s="52"/>
      <c r="V4" s="51"/>
      <c r="W4" s="51"/>
      <c r="X4" s="51"/>
      <c r="Y4" s="65"/>
      <c r="Z4" s="65"/>
      <c r="AA4" s="65"/>
      <c r="AB4" s="52"/>
      <c r="AC4" s="51"/>
      <c r="AD4" s="58"/>
      <c r="AE4" s="58"/>
      <c r="AF4" s="66"/>
      <c r="AG4" s="71"/>
      <c r="AH4" s="72"/>
      <c r="AI4" s="58"/>
      <c r="AJ4" s="57"/>
      <c r="AK4" s="58"/>
      <c r="AL4" s="58"/>
      <c r="AM4" s="58"/>
      <c r="AN4" s="58"/>
      <c r="AO4" s="58"/>
      <c r="AP4" s="58"/>
      <c r="AQ4" s="76"/>
      <c r="AR4" s="58"/>
      <c r="AS4" s="58"/>
      <c r="AT4" s="58"/>
      <c r="AU4" s="52"/>
      <c r="AV4" s="58"/>
      <c r="AW4" s="58"/>
    </row>
    <row r="5" s="44" customFormat="1" ht="37" customHeight="1" spans="1:49">
      <c r="A5" s="53"/>
      <c r="B5" s="54"/>
      <c r="C5" s="55"/>
      <c r="D5" s="54"/>
      <c r="E5" s="55"/>
      <c r="F5" s="55"/>
      <c r="G5" s="55"/>
      <c r="H5" s="54"/>
      <c r="I5" s="55"/>
      <c r="J5" s="59"/>
      <c r="K5" s="54"/>
      <c r="L5" s="54"/>
      <c r="M5" s="60"/>
      <c r="N5" s="54"/>
      <c r="O5" s="55"/>
      <c r="P5" s="55"/>
      <c r="Q5" s="55"/>
      <c r="R5" s="55"/>
      <c r="S5" s="55"/>
      <c r="T5" s="55"/>
      <c r="U5" s="55"/>
      <c r="V5" s="54"/>
      <c r="W5" s="54"/>
      <c r="X5" s="54"/>
      <c r="Y5" s="67"/>
      <c r="Z5" s="67"/>
      <c r="AA5" s="67"/>
      <c r="AB5" s="55"/>
      <c r="AC5" s="54"/>
      <c r="AF5" s="68"/>
      <c r="AG5" s="73"/>
      <c r="AH5" s="74"/>
      <c r="AI5" s="75"/>
      <c r="AJ5" s="75"/>
      <c r="AK5" s="75"/>
      <c r="AL5" s="75"/>
      <c r="AM5" s="75"/>
      <c r="AN5" s="75"/>
      <c r="AO5" s="75"/>
      <c r="AP5" s="75"/>
      <c r="AQ5" s="75"/>
      <c r="AR5" s="77"/>
      <c r="AT5" s="75"/>
      <c r="AU5" s="78"/>
      <c r="AW5" s="36"/>
    </row>
    <row r="6" s="44" customFormat="1" ht="37" customHeight="1" spans="1:49">
      <c r="A6" s="53"/>
      <c r="B6" s="54"/>
      <c r="C6" s="56"/>
      <c r="D6" s="56"/>
      <c r="E6" s="56"/>
      <c r="F6" s="55"/>
      <c r="G6" s="55"/>
      <c r="H6" s="54"/>
      <c r="I6" s="55"/>
      <c r="J6" s="59"/>
      <c r="K6" s="54"/>
      <c r="L6" s="54"/>
      <c r="M6" s="60"/>
      <c r="N6" s="54"/>
      <c r="O6" s="55"/>
      <c r="P6" s="55"/>
      <c r="Q6" s="55"/>
      <c r="R6" s="55"/>
      <c r="S6" s="55"/>
      <c r="T6" s="55"/>
      <c r="U6" s="55"/>
      <c r="V6" s="54"/>
      <c r="W6" s="54"/>
      <c r="X6" s="54"/>
      <c r="Y6" s="67"/>
      <c r="Z6" s="67"/>
      <c r="AA6" s="67"/>
      <c r="AB6" s="55"/>
      <c r="AC6" s="54"/>
      <c r="AF6" s="68"/>
      <c r="AG6" s="73"/>
      <c r="AH6" s="74"/>
      <c r="AI6" s="75"/>
      <c r="AJ6" s="75"/>
      <c r="AK6" s="75"/>
      <c r="AL6" s="75"/>
      <c r="AM6" s="75"/>
      <c r="AN6" s="75"/>
      <c r="AO6" s="75"/>
      <c r="AP6" s="75"/>
      <c r="AQ6" s="75"/>
      <c r="AR6" s="77"/>
      <c r="AT6" s="75"/>
      <c r="AU6" s="78"/>
      <c r="AW6" s="36"/>
    </row>
    <row r="7" s="44" customFormat="1" ht="37" customHeight="1" spans="1:49">
      <c r="A7" s="53"/>
      <c r="B7" s="54"/>
      <c r="C7" s="56"/>
      <c r="D7" s="56"/>
      <c r="E7" s="56"/>
      <c r="F7" s="55"/>
      <c r="G7" s="55"/>
      <c r="H7" s="54"/>
      <c r="I7" s="55"/>
      <c r="J7" s="59"/>
      <c r="K7" s="54"/>
      <c r="L7" s="54"/>
      <c r="M7" s="60"/>
      <c r="N7" s="54"/>
      <c r="O7" s="55"/>
      <c r="P7" s="55"/>
      <c r="Q7" s="55"/>
      <c r="R7" s="55"/>
      <c r="S7" s="55"/>
      <c r="T7" s="55"/>
      <c r="U7" s="55"/>
      <c r="V7" s="54"/>
      <c r="W7" s="54"/>
      <c r="X7" s="54"/>
      <c r="Y7" s="67"/>
      <c r="Z7" s="67"/>
      <c r="AA7" s="67"/>
      <c r="AB7" s="55"/>
      <c r="AC7" s="54"/>
      <c r="AF7" s="68"/>
      <c r="AG7" s="73"/>
      <c r="AH7" s="74"/>
      <c r="AI7" s="75"/>
      <c r="AJ7" s="75"/>
      <c r="AK7" s="75"/>
      <c r="AL7" s="75"/>
      <c r="AM7" s="75"/>
      <c r="AN7" s="75"/>
      <c r="AO7" s="75"/>
      <c r="AP7" s="75"/>
      <c r="AQ7" s="75"/>
      <c r="AR7" s="77"/>
      <c r="AT7" s="75"/>
      <c r="AU7" s="78"/>
      <c r="AW7" s="36"/>
    </row>
    <row r="8" s="44" customFormat="1" ht="37" customHeight="1" spans="1:49">
      <c r="A8" s="53"/>
      <c r="B8" s="54"/>
      <c r="C8" s="56"/>
      <c r="D8" s="56"/>
      <c r="E8" s="56"/>
      <c r="F8" s="55"/>
      <c r="G8" s="55"/>
      <c r="H8" s="54"/>
      <c r="I8" s="55"/>
      <c r="J8" s="59"/>
      <c r="K8" s="54"/>
      <c r="L8" s="54"/>
      <c r="M8" s="60"/>
      <c r="N8" s="54"/>
      <c r="O8" s="55"/>
      <c r="P8" s="55"/>
      <c r="Q8" s="55"/>
      <c r="R8" s="55"/>
      <c r="S8" s="55"/>
      <c r="T8" s="55"/>
      <c r="U8" s="55"/>
      <c r="V8" s="54"/>
      <c r="W8" s="54"/>
      <c r="X8" s="54"/>
      <c r="Y8" s="67"/>
      <c r="Z8" s="67"/>
      <c r="AA8" s="67"/>
      <c r="AB8" s="55"/>
      <c r="AC8" s="54"/>
      <c r="AF8" s="68"/>
      <c r="AG8" s="73"/>
      <c r="AH8" s="74"/>
      <c r="AI8" s="75"/>
      <c r="AJ8" s="75"/>
      <c r="AK8" s="75"/>
      <c r="AL8" s="75"/>
      <c r="AM8" s="75"/>
      <c r="AN8" s="75"/>
      <c r="AO8" s="75"/>
      <c r="AP8" s="75"/>
      <c r="AQ8" s="75"/>
      <c r="AR8" s="77"/>
      <c r="AT8" s="75"/>
      <c r="AU8" s="78"/>
      <c r="AW8" s="36"/>
    </row>
    <row r="9" s="44" customFormat="1" ht="37" customHeight="1" spans="1:49">
      <c r="A9" s="53"/>
      <c r="B9" s="54"/>
      <c r="C9" s="56"/>
      <c r="D9" s="56"/>
      <c r="E9" s="56"/>
      <c r="F9" s="55"/>
      <c r="G9" s="55"/>
      <c r="H9" s="54"/>
      <c r="I9" s="55"/>
      <c r="J9" s="59"/>
      <c r="K9" s="54"/>
      <c r="L9" s="54"/>
      <c r="M9" s="60"/>
      <c r="N9" s="54"/>
      <c r="O9" s="55"/>
      <c r="P9" s="55"/>
      <c r="Q9" s="55"/>
      <c r="R9" s="55"/>
      <c r="S9" s="55"/>
      <c r="T9" s="55"/>
      <c r="U9" s="55"/>
      <c r="V9" s="54"/>
      <c r="W9" s="54"/>
      <c r="X9" s="54"/>
      <c r="Y9" s="67"/>
      <c r="Z9" s="67"/>
      <c r="AA9" s="67"/>
      <c r="AB9" s="55"/>
      <c r="AC9" s="54"/>
      <c r="AF9" s="68"/>
      <c r="AG9" s="73"/>
      <c r="AH9" s="74"/>
      <c r="AI9" s="75"/>
      <c r="AJ9" s="75"/>
      <c r="AK9" s="75"/>
      <c r="AL9" s="75"/>
      <c r="AM9" s="75"/>
      <c r="AN9" s="75"/>
      <c r="AO9" s="75"/>
      <c r="AP9" s="75"/>
      <c r="AQ9" s="75"/>
      <c r="AR9" s="77"/>
      <c r="AT9" s="75"/>
      <c r="AU9" s="78"/>
      <c r="AW9" s="36"/>
    </row>
    <row r="10" s="44" customFormat="1" ht="37" customHeight="1" spans="1:49">
      <c r="A10" s="53"/>
      <c r="B10" s="54"/>
      <c r="C10" s="56"/>
      <c r="D10" s="56"/>
      <c r="E10" s="56"/>
      <c r="F10" s="55"/>
      <c r="G10" s="55"/>
      <c r="H10" s="54"/>
      <c r="I10" s="55"/>
      <c r="J10" s="59"/>
      <c r="K10" s="54"/>
      <c r="L10" s="54"/>
      <c r="M10" s="60"/>
      <c r="N10" s="54"/>
      <c r="O10" s="55"/>
      <c r="P10" s="55"/>
      <c r="Q10" s="55"/>
      <c r="R10" s="55"/>
      <c r="S10" s="55"/>
      <c r="T10" s="55"/>
      <c r="U10" s="55"/>
      <c r="V10" s="54"/>
      <c r="W10" s="54"/>
      <c r="X10" s="54"/>
      <c r="Y10" s="67"/>
      <c r="Z10" s="67"/>
      <c r="AA10" s="67"/>
      <c r="AB10" s="55"/>
      <c r="AC10" s="54"/>
      <c r="AF10" s="68"/>
      <c r="AG10" s="73"/>
      <c r="AH10" s="74"/>
      <c r="AI10" s="75"/>
      <c r="AJ10" s="75"/>
      <c r="AK10" s="75"/>
      <c r="AL10" s="75"/>
      <c r="AM10" s="75"/>
      <c r="AN10" s="75"/>
      <c r="AO10" s="75"/>
      <c r="AP10" s="75"/>
      <c r="AQ10" s="75"/>
      <c r="AR10" s="77"/>
      <c r="AT10" s="75"/>
      <c r="AU10" s="78"/>
      <c r="AW10" s="36"/>
    </row>
    <row r="11" s="44" customFormat="1" ht="37" customHeight="1" spans="1:49">
      <c r="A11" s="53"/>
      <c r="B11" s="54"/>
      <c r="C11" s="56"/>
      <c r="D11" s="56"/>
      <c r="E11" s="56"/>
      <c r="F11" s="55"/>
      <c r="G11" s="55"/>
      <c r="H11" s="54"/>
      <c r="I11" s="55"/>
      <c r="J11" s="59"/>
      <c r="K11" s="54"/>
      <c r="L11" s="54"/>
      <c r="M11" s="60"/>
      <c r="N11" s="54"/>
      <c r="O11" s="55"/>
      <c r="P11" s="55"/>
      <c r="Q11" s="55"/>
      <c r="R11" s="55"/>
      <c r="S11" s="55"/>
      <c r="T11" s="55"/>
      <c r="U11" s="55"/>
      <c r="V11" s="54"/>
      <c r="W11" s="54"/>
      <c r="X11" s="54"/>
      <c r="Y11" s="67"/>
      <c r="Z11" s="67"/>
      <c r="AA11" s="67"/>
      <c r="AB11" s="55"/>
      <c r="AC11" s="54"/>
      <c r="AF11" s="68"/>
      <c r="AG11" s="73"/>
      <c r="AH11" s="74"/>
      <c r="AI11" s="75"/>
      <c r="AJ11" s="75"/>
      <c r="AK11" s="75"/>
      <c r="AL11" s="75"/>
      <c r="AM11" s="75"/>
      <c r="AN11" s="75"/>
      <c r="AO11" s="75"/>
      <c r="AP11" s="75"/>
      <c r="AQ11" s="75"/>
      <c r="AR11" s="77"/>
      <c r="AT11" s="75"/>
      <c r="AU11" s="78"/>
      <c r="AW11" s="36"/>
    </row>
    <row r="12" s="44" customFormat="1" ht="37" customHeight="1" spans="1:49">
      <c r="A12" s="53"/>
      <c r="B12" s="54"/>
      <c r="C12" s="56"/>
      <c r="D12" s="56"/>
      <c r="E12" s="56"/>
      <c r="F12" s="55"/>
      <c r="G12" s="55"/>
      <c r="H12" s="54"/>
      <c r="I12" s="55"/>
      <c r="J12" s="59"/>
      <c r="K12" s="54"/>
      <c r="L12" s="54"/>
      <c r="M12" s="60"/>
      <c r="N12" s="54"/>
      <c r="O12" s="55"/>
      <c r="P12" s="55"/>
      <c r="Q12" s="55"/>
      <c r="R12" s="55"/>
      <c r="S12" s="55"/>
      <c r="T12" s="55"/>
      <c r="U12" s="55"/>
      <c r="V12" s="54"/>
      <c r="W12" s="54"/>
      <c r="X12" s="54"/>
      <c r="Y12" s="67"/>
      <c r="Z12" s="67"/>
      <c r="AA12" s="67"/>
      <c r="AB12" s="55"/>
      <c r="AC12" s="54"/>
      <c r="AF12" s="68"/>
      <c r="AG12" s="73"/>
      <c r="AH12" s="74"/>
      <c r="AI12" s="75"/>
      <c r="AJ12" s="75"/>
      <c r="AK12" s="75"/>
      <c r="AL12" s="75"/>
      <c r="AM12" s="75"/>
      <c r="AN12" s="75"/>
      <c r="AO12" s="75"/>
      <c r="AP12" s="75"/>
      <c r="AQ12" s="75"/>
      <c r="AR12" s="77"/>
      <c r="AT12" s="75"/>
      <c r="AU12" s="78"/>
      <c r="AW12" s="36"/>
    </row>
    <row r="13" s="44" customFormat="1" ht="37" customHeight="1" spans="1:49">
      <c r="A13" s="53"/>
      <c r="B13" s="54"/>
      <c r="C13" s="56"/>
      <c r="D13" s="56"/>
      <c r="E13" s="56"/>
      <c r="F13" s="55"/>
      <c r="G13" s="55"/>
      <c r="H13" s="54"/>
      <c r="I13" s="55"/>
      <c r="J13" s="59"/>
      <c r="K13" s="54"/>
      <c r="L13" s="54"/>
      <c r="M13" s="60"/>
      <c r="N13" s="54"/>
      <c r="O13" s="55"/>
      <c r="P13" s="55"/>
      <c r="Q13" s="55"/>
      <c r="R13" s="55"/>
      <c r="S13" s="55"/>
      <c r="T13" s="55"/>
      <c r="U13" s="55"/>
      <c r="V13" s="54"/>
      <c r="W13" s="54"/>
      <c r="X13" s="54"/>
      <c r="Y13" s="67"/>
      <c r="Z13" s="67"/>
      <c r="AA13" s="67"/>
      <c r="AB13" s="55"/>
      <c r="AC13" s="54"/>
      <c r="AF13" s="68"/>
      <c r="AG13" s="73"/>
      <c r="AH13" s="74"/>
      <c r="AI13" s="75"/>
      <c r="AJ13" s="75"/>
      <c r="AK13" s="75"/>
      <c r="AL13" s="75"/>
      <c r="AM13" s="75"/>
      <c r="AN13" s="75"/>
      <c r="AO13" s="75"/>
      <c r="AP13" s="75"/>
      <c r="AQ13" s="75"/>
      <c r="AR13" s="77"/>
      <c r="AT13" s="75"/>
      <c r="AU13" s="78"/>
      <c r="AW13" s="36"/>
    </row>
    <row r="14" s="44" customFormat="1" ht="37" customHeight="1" spans="1:49">
      <c r="A14" s="53"/>
      <c r="B14" s="54"/>
      <c r="C14" s="56"/>
      <c r="D14" s="56"/>
      <c r="E14" s="56"/>
      <c r="F14" s="55"/>
      <c r="G14" s="55"/>
      <c r="H14" s="54"/>
      <c r="I14" s="55"/>
      <c r="J14" s="59"/>
      <c r="K14" s="54"/>
      <c r="L14" s="54"/>
      <c r="M14" s="60"/>
      <c r="N14" s="54"/>
      <c r="O14" s="55"/>
      <c r="P14" s="55"/>
      <c r="Q14" s="55"/>
      <c r="R14" s="55"/>
      <c r="S14" s="55"/>
      <c r="T14" s="55"/>
      <c r="U14" s="55"/>
      <c r="V14" s="54"/>
      <c r="W14" s="54"/>
      <c r="X14" s="54"/>
      <c r="Y14" s="67"/>
      <c r="Z14" s="67"/>
      <c r="AA14" s="67"/>
      <c r="AB14" s="55"/>
      <c r="AC14" s="54"/>
      <c r="AF14" s="68"/>
      <c r="AG14" s="73"/>
      <c r="AH14" s="74"/>
      <c r="AI14" s="75"/>
      <c r="AJ14" s="75"/>
      <c r="AK14" s="75"/>
      <c r="AL14" s="75"/>
      <c r="AM14" s="75"/>
      <c r="AN14" s="75"/>
      <c r="AO14" s="75"/>
      <c r="AP14" s="75"/>
      <c r="AQ14" s="75"/>
      <c r="AR14" s="77"/>
      <c r="AT14" s="75"/>
      <c r="AU14" s="78"/>
      <c r="AW14" s="36"/>
    </row>
    <row r="15" s="44" customFormat="1" ht="37" customHeight="1" spans="1:49">
      <c r="A15" s="53"/>
      <c r="B15" s="54"/>
      <c r="C15" s="55"/>
      <c r="D15" s="54"/>
      <c r="E15" s="55"/>
      <c r="F15" s="55"/>
      <c r="G15" s="55"/>
      <c r="H15" s="54"/>
      <c r="I15" s="55"/>
      <c r="J15" s="59"/>
      <c r="K15" s="54"/>
      <c r="L15" s="54"/>
      <c r="M15" s="60"/>
      <c r="N15" s="54"/>
      <c r="O15" s="55"/>
      <c r="P15" s="55"/>
      <c r="Q15" s="55"/>
      <c r="R15" s="55"/>
      <c r="S15" s="55"/>
      <c r="T15" s="55"/>
      <c r="U15" s="55"/>
      <c r="V15" s="54"/>
      <c r="W15" s="54"/>
      <c r="X15" s="54"/>
      <c r="Y15" s="67"/>
      <c r="Z15" s="67"/>
      <c r="AA15" s="67"/>
      <c r="AB15" s="55"/>
      <c r="AC15" s="54"/>
      <c r="AF15" s="68"/>
      <c r="AG15" s="73"/>
      <c r="AH15" s="74"/>
      <c r="AI15" s="75"/>
      <c r="AJ15" s="75"/>
      <c r="AK15" s="75"/>
      <c r="AL15" s="75"/>
      <c r="AM15" s="75"/>
      <c r="AN15" s="75"/>
      <c r="AO15" s="75"/>
      <c r="AP15" s="75"/>
      <c r="AQ15" s="75"/>
      <c r="AR15" s="77"/>
      <c r="AT15" s="75"/>
      <c r="AU15" s="78"/>
      <c r="AW15" s="36"/>
    </row>
    <row r="16" s="44" customFormat="1" ht="37" customHeight="1" spans="1:49">
      <c r="A16" s="53"/>
      <c r="B16" s="54"/>
      <c r="C16" s="55"/>
      <c r="D16" s="54"/>
      <c r="E16" s="55"/>
      <c r="F16" s="55"/>
      <c r="G16" s="55"/>
      <c r="H16" s="54"/>
      <c r="I16" s="55"/>
      <c r="J16" s="59"/>
      <c r="K16" s="54"/>
      <c r="L16" s="54"/>
      <c r="M16" s="60"/>
      <c r="N16" s="54"/>
      <c r="O16" s="55"/>
      <c r="P16" s="55"/>
      <c r="Q16" s="55"/>
      <c r="R16" s="55"/>
      <c r="S16" s="55"/>
      <c r="T16" s="55"/>
      <c r="U16" s="55"/>
      <c r="V16" s="54"/>
      <c r="W16" s="54"/>
      <c r="X16" s="54"/>
      <c r="Y16" s="67"/>
      <c r="Z16" s="67"/>
      <c r="AA16" s="67"/>
      <c r="AB16" s="55"/>
      <c r="AC16" s="54"/>
      <c r="AF16" s="68"/>
      <c r="AG16" s="73"/>
      <c r="AH16" s="74"/>
      <c r="AI16" s="75"/>
      <c r="AJ16" s="75"/>
      <c r="AK16" s="75"/>
      <c r="AL16" s="75"/>
      <c r="AM16" s="75"/>
      <c r="AN16" s="75"/>
      <c r="AO16" s="75"/>
      <c r="AP16" s="75"/>
      <c r="AQ16" s="75"/>
      <c r="AR16" s="77"/>
      <c r="AT16" s="75"/>
      <c r="AU16" s="78"/>
      <c r="AW16" s="36"/>
    </row>
    <row r="17" s="44" customFormat="1" ht="37" customHeight="1" spans="1:49">
      <c r="A17" s="53"/>
      <c r="B17" s="54"/>
      <c r="C17" s="55"/>
      <c r="D17" s="54"/>
      <c r="E17" s="55"/>
      <c r="F17" s="55"/>
      <c r="G17" s="55"/>
      <c r="H17" s="54"/>
      <c r="I17" s="55"/>
      <c r="J17" s="59"/>
      <c r="K17" s="54"/>
      <c r="L17" s="54"/>
      <c r="M17" s="60"/>
      <c r="N17" s="54"/>
      <c r="O17" s="55"/>
      <c r="P17" s="55"/>
      <c r="Q17" s="55"/>
      <c r="R17" s="55"/>
      <c r="S17" s="55"/>
      <c r="T17" s="55"/>
      <c r="U17" s="55"/>
      <c r="V17" s="54"/>
      <c r="W17" s="54"/>
      <c r="X17" s="54"/>
      <c r="Y17" s="67"/>
      <c r="Z17" s="67"/>
      <c r="AA17" s="67"/>
      <c r="AB17" s="55"/>
      <c r="AC17" s="54"/>
      <c r="AF17" s="68"/>
      <c r="AG17" s="73"/>
      <c r="AH17" s="74"/>
      <c r="AI17" s="75"/>
      <c r="AJ17" s="75"/>
      <c r="AK17" s="75"/>
      <c r="AL17" s="75"/>
      <c r="AM17" s="75"/>
      <c r="AN17" s="75"/>
      <c r="AO17" s="75"/>
      <c r="AP17" s="75"/>
      <c r="AQ17" s="75"/>
      <c r="AR17" s="77"/>
      <c r="AT17" s="75"/>
      <c r="AU17" s="78"/>
      <c r="AW17" s="36"/>
    </row>
    <row r="18" s="44" customFormat="1" ht="37" customHeight="1" spans="1:49">
      <c r="A18" s="53"/>
      <c r="B18" s="54"/>
      <c r="C18" s="55"/>
      <c r="D18" s="54"/>
      <c r="E18" s="55"/>
      <c r="F18" s="55"/>
      <c r="G18" s="55"/>
      <c r="H18" s="54"/>
      <c r="I18" s="55"/>
      <c r="J18" s="59"/>
      <c r="K18" s="54"/>
      <c r="L18" s="54"/>
      <c r="M18" s="60"/>
      <c r="N18" s="54"/>
      <c r="O18" s="55"/>
      <c r="P18" s="55"/>
      <c r="Q18" s="55"/>
      <c r="R18" s="55"/>
      <c r="S18" s="55"/>
      <c r="T18" s="55"/>
      <c r="U18" s="55"/>
      <c r="V18" s="54"/>
      <c r="W18" s="54"/>
      <c r="X18" s="54"/>
      <c r="Y18" s="67"/>
      <c r="Z18" s="67"/>
      <c r="AA18" s="67"/>
      <c r="AB18" s="55"/>
      <c r="AC18" s="54"/>
      <c r="AF18" s="68"/>
      <c r="AG18" s="73"/>
      <c r="AH18" s="74"/>
      <c r="AI18" s="75"/>
      <c r="AJ18" s="75"/>
      <c r="AK18" s="75"/>
      <c r="AL18" s="75"/>
      <c r="AM18" s="75"/>
      <c r="AN18" s="75"/>
      <c r="AO18" s="75"/>
      <c r="AP18" s="75"/>
      <c r="AQ18" s="75"/>
      <c r="AR18" s="77"/>
      <c r="AT18" s="75"/>
      <c r="AU18" s="78"/>
      <c r="AW18" s="36"/>
    </row>
    <row r="19" s="44" customFormat="1" ht="37" customHeight="1" spans="1:49">
      <c r="A19" s="53"/>
      <c r="B19" s="54"/>
      <c r="C19" s="55"/>
      <c r="D19" s="54"/>
      <c r="E19" s="55"/>
      <c r="F19" s="55"/>
      <c r="G19" s="55"/>
      <c r="H19" s="54"/>
      <c r="I19" s="55"/>
      <c r="J19" s="59"/>
      <c r="K19" s="54"/>
      <c r="L19" s="54"/>
      <c r="M19" s="60"/>
      <c r="N19" s="54"/>
      <c r="O19" s="55"/>
      <c r="P19" s="55"/>
      <c r="Q19" s="55"/>
      <c r="R19" s="55"/>
      <c r="S19" s="55"/>
      <c r="T19" s="55"/>
      <c r="U19" s="55"/>
      <c r="V19" s="54"/>
      <c r="W19" s="54"/>
      <c r="X19" s="54"/>
      <c r="Y19" s="67"/>
      <c r="Z19" s="67"/>
      <c r="AA19" s="67"/>
      <c r="AB19" s="55"/>
      <c r="AC19" s="54"/>
      <c r="AF19" s="68"/>
      <c r="AG19" s="73"/>
      <c r="AH19" s="74"/>
      <c r="AI19" s="75"/>
      <c r="AJ19" s="75"/>
      <c r="AK19" s="75"/>
      <c r="AL19" s="75"/>
      <c r="AM19" s="75"/>
      <c r="AN19" s="75"/>
      <c r="AO19" s="75"/>
      <c r="AP19" s="75"/>
      <c r="AQ19" s="75"/>
      <c r="AR19" s="77"/>
      <c r="AT19" s="75"/>
      <c r="AU19" s="78"/>
      <c r="AW19" s="36"/>
    </row>
    <row r="20" s="44" customFormat="1" ht="37" customHeight="1" spans="1:49">
      <c r="A20" s="53"/>
      <c r="B20" s="54"/>
      <c r="C20" s="55"/>
      <c r="D20" s="54"/>
      <c r="E20" s="55"/>
      <c r="F20" s="55"/>
      <c r="G20" s="55"/>
      <c r="H20" s="54"/>
      <c r="I20" s="55"/>
      <c r="J20" s="59"/>
      <c r="K20" s="54"/>
      <c r="L20" s="54"/>
      <c r="M20" s="60"/>
      <c r="N20" s="54"/>
      <c r="O20" s="55"/>
      <c r="P20" s="55"/>
      <c r="Q20" s="55"/>
      <c r="R20" s="55"/>
      <c r="S20" s="55"/>
      <c r="T20" s="55"/>
      <c r="U20" s="55"/>
      <c r="V20" s="54"/>
      <c r="W20" s="54"/>
      <c r="X20" s="54"/>
      <c r="Y20" s="67"/>
      <c r="Z20" s="67"/>
      <c r="AA20" s="67"/>
      <c r="AB20" s="55"/>
      <c r="AC20" s="54"/>
      <c r="AF20" s="68"/>
      <c r="AG20" s="73"/>
      <c r="AH20" s="74"/>
      <c r="AI20" s="75"/>
      <c r="AJ20" s="75"/>
      <c r="AK20" s="75"/>
      <c r="AL20" s="75"/>
      <c r="AM20" s="75"/>
      <c r="AN20" s="75"/>
      <c r="AO20" s="75"/>
      <c r="AP20" s="75"/>
      <c r="AQ20" s="75"/>
      <c r="AR20" s="77"/>
      <c r="AT20" s="75"/>
      <c r="AU20" s="78"/>
      <c r="AW20" s="36"/>
    </row>
    <row r="21" s="44" customFormat="1" ht="37" customHeight="1" spans="1:49">
      <c r="A21" s="53"/>
      <c r="B21" s="54"/>
      <c r="C21" s="55"/>
      <c r="D21" s="54"/>
      <c r="E21" s="55"/>
      <c r="F21" s="55"/>
      <c r="G21" s="55"/>
      <c r="H21" s="54"/>
      <c r="I21" s="55"/>
      <c r="J21" s="59"/>
      <c r="K21" s="54"/>
      <c r="L21" s="54"/>
      <c r="M21" s="60"/>
      <c r="N21" s="54"/>
      <c r="O21" s="55"/>
      <c r="P21" s="55"/>
      <c r="Q21" s="55"/>
      <c r="R21" s="55"/>
      <c r="S21" s="55"/>
      <c r="T21" s="55"/>
      <c r="U21" s="55"/>
      <c r="V21" s="54"/>
      <c r="W21" s="54"/>
      <c r="X21" s="54"/>
      <c r="Y21" s="67"/>
      <c r="Z21" s="67"/>
      <c r="AA21" s="67"/>
      <c r="AB21" s="55"/>
      <c r="AC21" s="54"/>
      <c r="AF21" s="68"/>
      <c r="AG21" s="73"/>
      <c r="AH21" s="74"/>
      <c r="AI21" s="75"/>
      <c r="AJ21" s="75"/>
      <c r="AK21" s="75"/>
      <c r="AL21" s="75"/>
      <c r="AM21" s="75"/>
      <c r="AN21" s="75"/>
      <c r="AO21" s="75"/>
      <c r="AP21" s="75"/>
      <c r="AQ21" s="75"/>
      <c r="AR21" s="77"/>
      <c r="AT21" s="75"/>
      <c r="AU21" s="78"/>
      <c r="AW21" s="36"/>
    </row>
    <row r="22" s="44" customFormat="1" ht="37" customHeight="1" spans="1:49">
      <c r="A22" s="53"/>
      <c r="B22" s="54"/>
      <c r="C22" s="55"/>
      <c r="D22" s="54"/>
      <c r="E22" s="55"/>
      <c r="F22" s="55"/>
      <c r="G22" s="55"/>
      <c r="H22" s="54"/>
      <c r="I22" s="55"/>
      <c r="J22" s="59"/>
      <c r="K22" s="54"/>
      <c r="L22" s="54"/>
      <c r="M22" s="60"/>
      <c r="N22" s="54"/>
      <c r="O22" s="55"/>
      <c r="P22" s="55"/>
      <c r="Q22" s="55"/>
      <c r="R22" s="55"/>
      <c r="S22" s="55"/>
      <c r="T22" s="55"/>
      <c r="U22" s="55"/>
      <c r="V22" s="54"/>
      <c r="W22" s="54"/>
      <c r="X22" s="54"/>
      <c r="Y22" s="67"/>
      <c r="Z22" s="67"/>
      <c r="AA22" s="67"/>
      <c r="AB22" s="55"/>
      <c r="AC22" s="54"/>
      <c r="AF22" s="68"/>
      <c r="AG22" s="73"/>
      <c r="AH22" s="74"/>
      <c r="AI22" s="75"/>
      <c r="AJ22" s="75"/>
      <c r="AK22" s="75"/>
      <c r="AL22" s="75"/>
      <c r="AM22" s="75"/>
      <c r="AN22" s="75"/>
      <c r="AO22" s="75"/>
      <c r="AP22" s="75"/>
      <c r="AQ22" s="75"/>
      <c r="AR22" s="77"/>
      <c r="AT22" s="75"/>
      <c r="AU22" s="78"/>
      <c r="AW22" s="36"/>
    </row>
    <row r="23" s="44" customFormat="1" ht="37" customHeight="1" spans="1:49">
      <c r="A23" s="53"/>
      <c r="B23" s="54"/>
      <c r="C23" s="55"/>
      <c r="D23" s="54"/>
      <c r="E23" s="55"/>
      <c r="F23" s="55"/>
      <c r="G23" s="55"/>
      <c r="H23" s="54"/>
      <c r="I23" s="55"/>
      <c r="J23" s="59"/>
      <c r="K23" s="54"/>
      <c r="L23" s="54"/>
      <c r="M23" s="60"/>
      <c r="N23" s="54"/>
      <c r="O23" s="55"/>
      <c r="P23" s="55"/>
      <c r="Q23" s="55"/>
      <c r="R23" s="55"/>
      <c r="S23" s="55"/>
      <c r="T23" s="55"/>
      <c r="U23" s="55"/>
      <c r="V23" s="54"/>
      <c r="W23" s="54"/>
      <c r="X23" s="54"/>
      <c r="Y23" s="67"/>
      <c r="Z23" s="67"/>
      <c r="AA23" s="67"/>
      <c r="AB23" s="55"/>
      <c r="AC23" s="54"/>
      <c r="AF23" s="68"/>
      <c r="AG23" s="73"/>
      <c r="AH23" s="74"/>
      <c r="AI23" s="75"/>
      <c r="AJ23" s="75"/>
      <c r="AK23" s="75"/>
      <c r="AL23" s="75"/>
      <c r="AM23" s="75"/>
      <c r="AN23" s="75"/>
      <c r="AO23" s="75"/>
      <c r="AP23" s="75"/>
      <c r="AQ23" s="75"/>
      <c r="AR23" s="77"/>
      <c r="AT23" s="75"/>
      <c r="AU23" s="78"/>
      <c r="AW23" s="36"/>
    </row>
    <row r="24" s="44" customFormat="1" ht="37" customHeight="1" spans="1:49">
      <c r="A24" s="53"/>
      <c r="B24" s="54"/>
      <c r="C24" s="55"/>
      <c r="D24" s="54"/>
      <c r="E24" s="55"/>
      <c r="F24" s="55"/>
      <c r="G24" s="55"/>
      <c r="H24" s="54"/>
      <c r="I24" s="55"/>
      <c r="J24" s="59"/>
      <c r="K24" s="54"/>
      <c r="L24" s="54"/>
      <c r="M24" s="60"/>
      <c r="N24" s="54"/>
      <c r="O24" s="55"/>
      <c r="P24" s="55"/>
      <c r="Q24" s="55"/>
      <c r="R24" s="55"/>
      <c r="S24" s="55"/>
      <c r="T24" s="55"/>
      <c r="U24" s="55"/>
      <c r="V24" s="54"/>
      <c r="W24" s="54"/>
      <c r="X24" s="54"/>
      <c r="Y24" s="67"/>
      <c r="Z24" s="67"/>
      <c r="AA24" s="67"/>
      <c r="AB24" s="55"/>
      <c r="AC24" s="54"/>
      <c r="AF24" s="68"/>
      <c r="AG24" s="73"/>
      <c r="AH24" s="74"/>
      <c r="AI24" s="75"/>
      <c r="AJ24" s="75"/>
      <c r="AK24" s="75"/>
      <c r="AL24" s="75"/>
      <c r="AM24" s="75"/>
      <c r="AN24" s="75"/>
      <c r="AO24" s="75"/>
      <c r="AP24" s="75"/>
      <c r="AQ24" s="75"/>
      <c r="AR24" s="77"/>
      <c r="AT24" s="75"/>
      <c r="AU24" s="78"/>
      <c r="AW24" s="36"/>
    </row>
    <row r="25" s="44" customFormat="1" ht="37" customHeight="1" spans="1:49">
      <c r="A25" s="53"/>
      <c r="B25" s="54"/>
      <c r="C25" s="55"/>
      <c r="D25" s="54"/>
      <c r="E25" s="55"/>
      <c r="F25" s="55"/>
      <c r="G25" s="55"/>
      <c r="H25" s="54"/>
      <c r="I25" s="55"/>
      <c r="J25" s="59"/>
      <c r="K25" s="54"/>
      <c r="L25" s="54"/>
      <c r="M25" s="60"/>
      <c r="N25" s="54"/>
      <c r="O25" s="55"/>
      <c r="P25" s="55"/>
      <c r="Q25" s="55"/>
      <c r="R25" s="55"/>
      <c r="S25" s="55"/>
      <c r="T25" s="55"/>
      <c r="U25" s="55"/>
      <c r="V25" s="54"/>
      <c r="W25" s="54"/>
      <c r="X25" s="54"/>
      <c r="Y25" s="67"/>
      <c r="Z25" s="67"/>
      <c r="AA25" s="67"/>
      <c r="AB25" s="55"/>
      <c r="AC25" s="54"/>
      <c r="AF25" s="68"/>
      <c r="AG25" s="73"/>
      <c r="AH25" s="74"/>
      <c r="AI25" s="75"/>
      <c r="AJ25" s="75"/>
      <c r="AK25" s="75"/>
      <c r="AL25" s="75"/>
      <c r="AM25" s="75"/>
      <c r="AN25" s="75"/>
      <c r="AO25" s="75"/>
      <c r="AP25" s="75"/>
      <c r="AQ25" s="75"/>
      <c r="AR25" s="77"/>
      <c r="AT25" s="75"/>
      <c r="AU25" s="78"/>
      <c r="AW25" s="36"/>
    </row>
    <row r="26" s="44" customFormat="1" ht="37" customHeight="1" spans="1:49">
      <c r="A26" s="53"/>
      <c r="B26" s="54"/>
      <c r="C26" s="55"/>
      <c r="D26" s="54"/>
      <c r="E26" s="55"/>
      <c r="F26" s="55"/>
      <c r="G26" s="55"/>
      <c r="H26" s="54"/>
      <c r="I26" s="55"/>
      <c r="J26" s="59"/>
      <c r="K26" s="54"/>
      <c r="L26" s="54"/>
      <c r="M26" s="60"/>
      <c r="N26" s="54"/>
      <c r="O26" s="55"/>
      <c r="P26" s="55"/>
      <c r="Q26" s="55"/>
      <c r="R26" s="55"/>
      <c r="S26" s="55"/>
      <c r="T26" s="55"/>
      <c r="U26" s="55"/>
      <c r="V26" s="54"/>
      <c r="W26" s="54"/>
      <c r="X26" s="54"/>
      <c r="Y26" s="67"/>
      <c r="Z26" s="67"/>
      <c r="AA26" s="67"/>
      <c r="AB26" s="55"/>
      <c r="AC26" s="54"/>
      <c r="AF26" s="68"/>
      <c r="AG26" s="73"/>
      <c r="AH26" s="74"/>
      <c r="AI26" s="75"/>
      <c r="AJ26" s="75"/>
      <c r="AK26" s="75"/>
      <c r="AL26" s="75"/>
      <c r="AM26" s="75"/>
      <c r="AN26" s="75"/>
      <c r="AO26" s="75"/>
      <c r="AP26" s="75"/>
      <c r="AQ26" s="75"/>
      <c r="AR26" s="77"/>
      <c r="AT26" s="75"/>
      <c r="AU26" s="78"/>
      <c r="AW26" s="36"/>
    </row>
    <row r="27" s="44" customFormat="1" ht="37" customHeight="1" spans="1:49">
      <c r="A27" s="53"/>
      <c r="B27" s="54"/>
      <c r="C27" s="55"/>
      <c r="D27" s="54"/>
      <c r="E27" s="55"/>
      <c r="F27" s="55"/>
      <c r="G27" s="55"/>
      <c r="H27" s="54"/>
      <c r="I27" s="55"/>
      <c r="J27" s="59"/>
      <c r="K27" s="54"/>
      <c r="L27" s="54"/>
      <c r="M27" s="60"/>
      <c r="N27" s="54"/>
      <c r="O27" s="55"/>
      <c r="P27" s="55"/>
      <c r="Q27" s="55"/>
      <c r="R27" s="55"/>
      <c r="S27" s="55"/>
      <c r="T27" s="55"/>
      <c r="U27" s="55"/>
      <c r="V27" s="54"/>
      <c r="W27" s="54"/>
      <c r="X27" s="54"/>
      <c r="Y27" s="67"/>
      <c r="Z27" s="67"/>
      <c r="AA27" s="67"/>
      <c r="AB27" s="55"/>
      <c r="AC27" s="54"/>
      <c r="AF27" s="68"/>
      <c r="AG27" s="73"/>
      <c r="AH27" s="74"/>
      <c r="AI27" s="75"/>
      <c r="AJ27" s="75"/>
      <c r="AK27" s="75"/>
      <c r="AL27" s="75"/>
      <c r="AM27" s="75"/>
      <c r="AN27" s="75"/>
      <c r="AO27" s="75"/>
      <c r="AP27" s="75"/>
      <c r="AQ27" s="75"/>
      <c r="AR27" s="77"/>
      <c r="AT27" s="75"/>
      <c r="AU27" s="78"/>
      <c r="AW27" s="36"/>
    </row>
    <row r="28" s="44" customFormat="1" ht="37" customHeight="1" spans="1:49">
      <c r="A28" s="53"/>
      <c r="B28" s="54"/>
      <c r="C28" s="55"/>
      <c r="D28" s="54"/>
      <c r="E28" s="55"/>
      <c r="F28" s="55"/>
      <c r="G28" s="55"/>
      <c r="H28" s="54"/>
      <c r="I28" s="55"/>
      <c r="J28" s="59"/>
      <c r="K28" s="54"/>
      <c r="L28" s="54"/>
      <c r="M28" s="60"/>
      <c r="N28" s="54"/>
      <c r="O28" s="55"/>
      <c r="P28" s="55"/>
      <c r="Q28" s="55"/>
      <c r="R28" s="55"/>
      <c r="S28" s="55"/>
      <c r="T28" s="55"/>
      <c r="U28" s="55"/>
      <c r="V28" s="54"/>
      <c r="W28" s="54"/>
      <c r="X28" s="54"/>
      <c r="Y28" s="67"/>
      <c r="Z28" s="67"/>
      <c r="AA28" s="67"/>
      <c r="AB28" s="55"/>
      <c r="AC28" s="54"/>
      <c r="AF28" s="68"/>
      <c r="AG28" s="73"/>
      <c r="AH28" s="74"/>
      <c r="AI28" s="75"/>
      <c r="AJ28" s="75"/>
      <c r="AK28" s="75"/>
      <c r="AL28" s="75"/>
      <c r="AM28" s="75"/>
      <c r="AN28" s="75"/>
      <c r="AO28" s="75"/>
      <c r="AP28" s="75"/>
      <c r="AQ28" s="75"/>
      <c r="AR28" s="77"/>
      <c r="AT28" s="75"/>
      <c r="AU28" s="78"/>
      <c r="AW28" s="36"/>
    </row>
    <row r="29" s="44" customFormat="1" ht="37" customHeight="1" spans="1:49">
      <c r="A29" s="53"/>
      <c r="B29" s="54"/>
      <c r="C29" s="55"/>
      <c r="D29" s="54"/>
      <c r="E29" s="55"/>
      <c r="F29" s="55"/>
      <c r="G29" s="55"/>
      <c r="H29" s="54"/>
      <c r="I29" s="55"/>
      <c r="J29" s="59"/>
      <c r="K29" s="54"/>
      <c r="L29" s="54"/>
      <c r="M29" s="60"/>
      <c r="N29" s="54"/>
      <c r="O29" s="55"/>
      <c r="P29" s="55"/>
      <c r="Q29" s="55"/>
      <c r="R29" s="55"/>
      <c r="S29" s="55"/>
      <c r="T29" s="55"/>
      <c r="U29" s="55"/>
      <c r="V29" s="54"/>
      <c r="W29" s="54"/>
      <c r="X29" s="54"/>
      <c r="Y29" s="67"/>
      <c r="Z29" s="67"/>
      <c r="AA29" s="67"/>
      <c r="AB29" s="55"/>
      <c r="AC29" s="54"/>
      <c r="AF29" s="68"/>
      <c r="AG29" s="73"/>
      <c r="AH29" s="74"/>
      <c r="AI29" s="75"/>
      <c r="AJ29" s="75"/>
      <c r="AK29" s="75"/>
      <c r="AL29" s="75"/>
      <c r="AM29" s="75"/>
      <c r="AN29" s="75"/>
      <c r="AO29" s="75"/>
      <c r="AP29" s="75"/>
      <c r="AQ29" s="75"/>
      <c r="AR29" s="77"/>
      <c r="AT29" s="75"/>
      <c r="AU29" s="78"/>
      <c r="AW29" s="36"/>
    </row>
    <row r="30" s="44" customFormat="1" ht="37" customHeight="1" spans="1:49">
      <c r="A30" s="53"/>
      <c r="B30" s="54"/>
      <c r="C30" s="55"/>
      <c r="D30" s="54"/>
      <c r="E30" s="55"/>
      <c r="F30" s="55"/>
      <c r="G30" s="55"/>
      <c r="H30" s="54"/>
      <c r="I30" s="55"/>
      <c r="J30" s="59"/>
      <c r="K30" s="54"/>
      <c r="L30" s="54"/>
      <c r="M30" s="60"/>
      <c r="N30" s="54"/>
      <c r="O30" s="55"/>
      <c r="P30" s="55"/>
      <c r="Q30" s="55"/>
      <c r="R30" s="55"/>
      <c r="S30" s="55"/>
      <c r="T30" s="55"/>
      <c r="U30" s="55"/>
      <c r="V30" s="54"/>
      <c r="W30" s="54"/>
      <c r="X30" s="54"/>
      <c r="Y30" s="67"/>
      <c r="Z30" s="67"/>
      <c r="AA30" s="67"/>
      <c r="AB30" s="55"/>
      <c r="AC30" s="54"/>
      <c r="AF30" s="68"/>
      <c r="AG30" s="73"/>
      <c r="AH30" s="74"/>
      <c r="AI30" s="75"/>
      <c r="AJ30" s="75"/>
      <c r="AK30" s="75"/>
      <c r="AL30" s="75"/>
      <c r="AM30" s="75"/>
      <c r="AN30" s="75"/>
      <c r="AO30" s="75"/>
      <c r="AP30" s="75"/>
      <c r="AQ30" s="75"/>
      <c r="AR30" s="77"/>
      <c r="AT30" s="75"/>
      <c r="AU30" s="78"/>
      <c r="AW30" s="36"/>
    </row>
    <row r="31" s="44" customFormat="1" ht="37" customHeight="1" spans="1:49">
      <c r="A31" s="53"/>
      <c r="B31" s="54"/>
      <c r="C31" s="55"/>
      <c r="D31" s="54"/>
      <c r="E31" s="55"/>
      <c r="F31" s="55"/>
      <c r="G31" s="55"/>
      <c r="H31" s="54"/>
      <c r="I31" s="55"/>
      <c r="J31" s="59"/>
      <c r="K31" s="54"/>
      <c r="L31" s="54"/>
      <c r="M31" s="60"/>
      <c r="N31" s="54"/>
      <c r="O31" s="55"/>
      <c r="P31" s="55"/>
      <c r="Q31" s="55"/>
      <c r="R31" s="55"/>
      <c r="S31" s="55"/>
      <c r="T31" s="55"/>
      <c r="U31" s="55"/>
      <c r="V31" s="54"/>
      <c r="W31" s="54"/>
      <c r="X31" s="54"/>
      <c r="Y31" s="67"/>
      <c r="Z31" s="67"/>
      <c r="AA31" s="67"/>
      <c r="AB31" s="55"/>
      <c r="AC31" s="54"/>
      <c r="AF31" s="68"/>
      <c r="AG31" s="73"/>
      <c r="AH31" s="74"/>
      <c r="AI31" s="75"/>
      <c r="AJ31" s="75"/>
      <c r="AK31" s="75"/>
      <c r="AL31" s="75"/>
      <c r="AM31" s="75"/>
      <c r="AN31" s="75"/>
      <c r="AO31" s="75"/>
      <c r="AP31" s="75"/>
      <c r="AQ31" s="75"/>
      <c r="AR31" s="77"/>
      <c r="AT31" s="75"/>
      <c r="AU31" s="78"/>
      <c r="AW31" s="36"/>
    </row>
    <row r="32" s="44" customFormat="1" ht="37" customHeight="1" spans="1:49">
      <c r="A32" s="53"/>
      <c r="B32" s="54"/>
      <c r="C32" s="55"/>
      <c r="D32" s="54"/>
      <c r="E32" s="55"/>
      <c r="F32" s="55"/>
      <c r="G32" s="55"/>
      <c r="H32" s="54"/>
      <c r="I32" s="55"/>
      <c r="J32" s="59"/>
      <c r="K32" s="54"/>
      <c r="L32" s="54"/>
      <c r="M32" s="60"/>
      <c r="N32" s="54"/>
      <c r="O32" s="55"/>
      <c r="P32" s="55"/>
      <c r="Q32" s="55"/>
      <c r="R32" s="55"/>
      <c r="S32" s="55"/>
      <c r="T32" s="55"/>
      <c r="U32" s="55"/>
      <c r="V32" s="54"/>
      <c r="W32" s="54"/>
      <c r="X32" s="54"/>
      <c r="Y32" s="67"/>
      <c r="Z32" s="67"/>
      <c r="AA32" s="67"/>
      <c r="AB32" s="55"/>
      <c r="AC32" s="54"/>
      <c r="AF32" s="68"/>
      <c r="AG32" s="73"/>
      <c r="AH32" s="74"/>
      <c r="AI32" s="75"/>
      <c r="AJ32" s="75"/>
      <c r="AK32" s="75"/>
      <c r="AL32" s="75"/>
      <c r="AM32" s="75"/>
      <c r="AN32" s="75"/>
      <c r="AO32" s="75"/>
      <c r="AP32" s="75"/>
      <c r="AQ32" s="75"/>
      <c r="AR32" s="77"/>
      <c r="AT32" s="75"/>
      <c r="AU32" s="78"/>
      <c r="AW32" s="36"/>
    </row>
    <row r="33" s="44" customFormat="1" ht="37" customHeight="1" spans="1:49">
      <c r="A33" s="53"/>
      <c r="B33" s="54"/>
      <c r="C33" s="55"/>
      <c r="D33" s="54"/>
      <c r="E33" s="55"/>
      <c r="F33" s="55"/>
      <c r="G33" s="55"/>
      <c r="H33" s="54"/>
      <c r="I33" s="55"/>
      <c r="J33" s="59"/>
      <c r="K33" s="54"/>
      <c r="L33" s="54"/>
      <c r="M33" s="60"/>
      <c r="N33" s="54"/>
      <c r="O33" s="55"/>
      <c r="P33" s="55"/>
      <c r="Q33" s="55"/>
      <c r="R33" s="55"/>
      <c r="S33" s="55"/>
      <c r="T33" s="55"/>
      <c r="U33" s="55"/>
      <c r="V33" s="54"/>
      <c r="W33" s="54"/>
      <c r="X33" s="54"/>
      <c r="Y33" s="67"/>
      <c r="Z33" s="67"/>
      <c r="AA33" s="67"/>
      <c r="AB33" s="55"/>
      <c r="AC33" s="54"/>
      <c r="AF33" s="68"/>
      <c r="AG33" s="73"/>
      <c r="AH33" s="74"/>
      <c r="AI33" s="75"/>
      <c r="AJ33" s="75"/>
      <c r="AK33" s="75"/>
      <c r="AL33" s="75"/>
      <c r="AM33" s="75"/>
      <c r="AN33" s="75"/>
      <c r="AO33" s="75"/>
      <c r="AP33" s="75"/>
      <c r="AQ33" s="75"/>
      <c r="AR33" s="77"/>
      <c r="AT33" s="75"/>
      <c r="AU33" s="78"/>
      <c r="AW33" s="36"/>
    </row>
    <row r="34" s="44" customFormat="1" ht="37" customHeight="1" spans="1:49">
      <c r="A34" s="53"/>
      <c r="B34" s="54"/>
      <c r="C34" s="55"/>
      <c r="D34" s="54"/>
      <c r="E34" s="55"/>
      <c r="F34" s="55"/>
      <c r="G34" s="55"/>
      <c r="H34" s="54"/>
      <c r="I34" s="55"/>
      <c r="J34" s="59"/>
      <c r="K34" s="54"/>
      <c r="L34" s="54"/>
      <c r="M34" s="60"/>
      <c r="N34" s="54"/>
      <c r="O34" s="55"/>
      <c r="P34" s="55"/>
      <c r="Q34" s="55"/>
      <c r="R34" s="55"/>
      <c r="S34" s="55"/>
      <c r="T34" s="55"/>
      <c r="U34" s="55"/>
      <c r="V34" s="54"/>
      <c r="W34" s="54"/>
      <c r="X34" s="54"/>
      <c r="Y34" s="67"/>
      <c r="Z34" s="67"/>
      <c r="AA34" s="67"/>
      <c r="AB34" s="55"/>
      <c r="AC34" s="54"/>
      <c r="AF34" s="68"/>
      <c r="AG34" s="73"/>
      <c r="AH34" s="74"/>
      <c r="AI34" s="75"/>
      <c r="AJ34" s="75"/>
      <c r="AK34" s="75"/>
      <c r="AL34" s="75"/>
      <c r="AM34" s="75"/>
      <c r="AN34" s="75"/>
      <c r="AO34" s="75"/>
      <c r="AP34" s="75"/>
      <c r="AQ34" s="75"/>
      <c r="AR34" s="77"/>
      <c r="AT34" s="75"/>
      <c r="AU34" s="78"/>
      <c r="AW34" s="36"/>
    </row>
    <row r="35" s="44" customFormat="1" ht="37" customHeight="1" spans="1:49">
      <c r="A35" s="53"/>
      <c r="B35" s="54"/>
      <c r="C35" s="55"/>
      <c r="D35" s="54"/>
      <c r="E35" s="55"/>
      <c r="F35" s="55"/>
      <c r="G35" s="55"/>
      <c r="H35" s="54"/>
      <c r="I35" s="55"/>
      <c r="J35" s="59"/>
      <c r="K35" s="54"/>
      <c r="L35" s="54"/>
      <c r="M35" s="60"/>
      <c r="N35" s="54"/>
      <c r="O35" s="55"/>
      <c r="P35" s="55"/>
      <c r="Q35" s="55"/>
      <c r="R35" s="55"/>
      <c r="S35" s="55"/>
      <c r="T35" s="55"/>
      <c r="U35" s="55"/>
      <c r="V35" s="54"/>
      <c r="W35" s="54"/>
      <c r="X35" s="54"/>
      <c r="Y35" s="67"/>
      <c r="Z35" s="67"/>
      <c r="AA35" s="67"/>
      <c r="AB35" s="55"/>
      <c r="AC35" s="54"/>
      <c r="AF35" s="68"/>
      <c r="AG35" s="73"/>
      <c r="AH35" s="74"/>
      <c r="AI35" s="75"/>
      <c r="AJ35" s="75"/>
      <c r="AK35" s="75"/>
      <c r="AL35" s="75"/>
      <c r="AM35" s="75"/>
      <c r="AN35" s="75"/>
      <c r="AO35" s="75"/>
      <c r="AP35" s="75"/>
      <c r="AQ35" s="75"/>
      <c r="AR35" s="77"/>
      <c r="AT35" s="75"/>
      <c r="AU35" s="78"/>
      <c r="AW35" s="36"/>
    </row>
    <row r="36" s="44" customFormat="1" ht="37" customHeight="1" spans="1:49">
      <c r="A36" s="53"/>
      <c r="B36" s="54"/>
      <c r="C36" s="55"/>
      <c r="D36" s="54"/>
      <c r="E36" s="55"/>
      <c r="F36" s="55"/>
      <c r="G36" s="55"/>
      <c r="H36" s="54"/>
      <c r="I36" s="55"/>
      <c r="J36" s="59"/>
      <c r="K36" s="54"/>
      <c r="L36" s="54"/>
      <c r="M36" s="60"/>
      <c r="N36" s="54"/>
      <c r="O36" s="55"/>
      <c r="P36" s="55"/>
      <c r="Q36" s="55"/>
      <c r="R36" s="55"/>
      <c r="S36" s="55"/>
      <c r="T36" s="55"/>
      <c r="U36" s="55"/>
      <c r="V36" s="54"/>
      <c r="W36" s="54"/>
      <c r="X36" s="54"/>
      <c r="Y36" s="67"/>
      <c r="Z36" s="67"/>
      <c r="AA36" s="67"/>
      <c r="AB36" s="55"/>
      <c r="AC36" s="54"/>
      <c r="AF36" s="68"/>
      <c r="AG36" s="73"/>
      <c r="AH36" s="74"/>
      <c r="AI36" s="75"/>
      <c r="AJ36" s="75"/>
      <c r="AK36" s="75"/>
      <c r="AL36" s="75"/>
      <c r="AM36" s="75"/>
      <c r="AN36" s="75"/>
      <c r="AO36" s="75"/>
      <c r="AP36" s="75"/>
      <c r="AQ36" s="75"/>
      <c r="AR36" s="77"/>
      <c r="AT36" s="75"/>
      <c r="AU36" s="78"/>
      <c r="AW36" s="36"/>
    </row>
    <row r="37" s="44" customFormat="1" ht="37" customHeight="1" spans="1:49">
      <c r="A37" s="53"/>
      <c r="B37" s="54"/>
      <c r="C37" s="55"/>
      <c r="D37" s="54"/>
      <c r="E37" s="55"/>
      <c r="F37" s="55"/>
      <c r="G37" s="55"/>
      <c r="H37" s="54"/>
      <c r="I37" s="55"/>
      <c r="J37" s="59"/>
      <c r="K37" s="54"/>
      <c r="L37" s="54"/>
      <c r="M37" s="60"/>
      <c r="N37" s="54"/>
      <c r="O37" s="55"/>
      <c r="P37" s="55"/>
      <c r="Q37" s="55"/>
      <c r="R37" s="55"/>
      <c r="S37" s="55"/>
      <c r="T37" s="55"/>
      <c r="U37" s="55"/>
      <c r="V37" s="54"/>
      <c r="W37" s="54"/>
      <c r="X37" s="54"/>
      <c r="Y37" s="67"/>
      <c r="Z37" s="67"/>
      <c r="AA37" s="67"/>
      <c r="AB37" s="55"/>
      <c r="AC37" s="54"/>
      <c r="AF37" s="68"/>
      <c r="AG37" s="73"/>
      <c r="AH37" s="74"/>
      <c r="AI37" s="75"/>
      <c r="AJ37" s="75"/>
      <c r="AK37" s="75"/>
      <c r="AL37" s="75"/>
      <c r="AM37" s="75"/>
      <c r="AN37" s="75"/>
      <c r="AO37" s="75"/>
      <c r="AP37" s="75"/>
      <c r="AQ37" s="75"/>
      <c r="AR37" s="77"/>
      <c r="AT37" s="75"/>
      <c r="AU37" s="78"/>
      <c r="AW37" s="36"/>
    </row>
    <row r="38" s="44" customFormat="1" ht="37" customHeight="1" spans="1:49">
      <c r="A38" s="53"/>
      <c r="B38" s="54"/>
      <c r="C38" s="55"/>
      <c r="D38" s="54"/>
      <c r="E38" s="55"/>
      <c r="F38" s="55"/>
      <c r="G38" s="55"/>
      <c r="H38" s="54"/>
      <c r="I38" s="55"/>
      <c r="J38" s="59"/>
      <c r="K38" s="54"/>
      <c r="L38" s="54"/>
      <c r="M38" s="60"/>
      <c r="N38" s="54"/>
      <c r="O38" s="55"/>
      <c r="P38" s="55"/>
      <c r="Q38" s="55"/>
      <c r="R38" s="55"/>
      <c r="S38" s="55"/>
      <c r="T38" s="55"/>
      <c r="U38" s="55"/>
      <c r="V38" s="54"/>
      <c r="W38" s="54"/>
      <c r="X38" s="54"/>
      <c r="Y38" s="67"/>
      <c r="Z38" s="67"/>
      <c r="AA38" s="67"/>
      <c r="AB38" s="55"/>
      <c r="AC38" s="54"/>
      <c r="AF38" s="68"/>
      <c r="AG38" s="73"/>
      <c r="AH38" s="74"/>
      <c r="AI38" s="75"/>
      <c r="AJ38" s="75"/>
      <c r="AK38" s="75"/>
      <c r="AL38" s="75"/>
      <c r="AM38" s="75"/>
      <c r="AN38" s="75"/>
      <c r="AO38" s="75"/>
      <c r="AP38" s="75"/>
      <c r="AQ38" s="75"/>
      <c r="AR38" s="77"/>
      <c r="AT38" s="75"/>
      <c r="AU38" s="78"/>
      <c r="AW38" s="36"/>
    </row>
    <row r="39" s="44" customFormat="1" ht="37" customHeight="1" spans="1:49">
      <c r="A39" s="53"/>
      <c r="B39" s="54"/>
      <c r="C39" s="55"/>
      <c r="D39" s="54"/>
      <c r="E39" s="55"/>
      <c r="F39" s="55"/>
      <c r="G39" s="55"/>
      <c r="H39" s="54"/>
      <c r="I39" s="55"/>
      <c r="J39" s="59"/>
      <c r="K39" s="54"/>
      <c r="L39" s="54"/>
      <c r="M39" s="60"/>
      <c r="N39" s="54"/>
      <c r="O39" s="55"/>
      <c r="P39" s="55"/>
      <c r="Q39" s="55"/>
      <c r="R39" s="55"/>
      <c r="S39" s="55"/>
      <c r="T39" s="55"/>
      <c r="U39" s="55"/>
      <c r="V39" s="54"/>
      <c r="W39" s="54"/>
      <c r="X39" s="54"/>
      <c r="Y39" s="67"/>
      <c r="Z39" s="67"/>
      <c r="AA39" s="67"/>
      <c r="AB39" s="55"/>
      <c r="AC39" s="54"/>
      <c r="AF39" s="68"/>
      <c r="AG39" s="73"/>
      <c r="AH39" s="74"/>
      <c r="AI39" s="75"/>
      <c r="AJ39" s="75"/>
      <c r="AK39" s="75"/>
      <c r="AL39" s="75"/>
      <c r="AM39" s="75"/>
      <c r="AN39" s="75"/>
      <c r="AO39" s="75"/>
      <c r="AP39" s="75"/>
      <c r="AQ39" s="75"/>
      <c r="AR39" s="77"/>
      <c r="AT39" s="75"/>
      <c r="AU39" s="78"/>
      <c r="AW39" s="36"/>
    </row>
    <row r="40" s="44" customFormat="1" ht="37" customHeight="1" spans="1:49">
      <c r="A40" s="53"/>
      <c r="B40" s="54"/>
      <c r="C40" s="55"/>
      <c r="D40" s="54"/>
      <c r="E40" s="55"/>
      <c r="F40" s="55"/>
      <c r="G40" s="55"/>
      <c r="H40" s="54"/>
      <c r="I40" s="55"/>
      <c r="J40" s="59"/>
      <c r="K40" s="54"/>
      <c r="L40" s="54"/>
      <c r="M40" s="60"/>
      <c r="N40" s="54"/>
      <c r="O40" s="55"/>
      <c r="P40" s="55"/>
      <c r="Q40" s="55"/>
      <c r="R40" s="55"/>
      <c r="S40" s="55"/>
      <c r="T40" s="55"/>
      <c r="U40" s="55"/>
      <c r="V40" s="54"/>
      <c r="W40" s="54"/>
      <c r="X40" s="54"/>
      <c r="Y40" s="67"/>
      <c r="Z40" s="67"/>
      <c r="AA40" s="67"/>
      <c r="AB40" s="55"/>
      <c r="AC40" s="54"/>
      <c r="AF40" s="68"/>
      <c r="AG40" s="73"/>
      <c r="AH40" s="74"/>
      <c r="AI40" s="75"/>
      <c r="AJ40" s="75"/>
      <c r="AK40" s="75"/>
      <c r="AL40" s="75"/>
      <c r="AM40" s="75"/>
      <c r="AN40" s="75"/>
      <c r="AO40" s="75"/>
      <c r="AP40" s="75"/>
      <c r="AQ40" s="75"/>
      <c r="AR40" s="77"/>
      <c r="AT40" s="75"/>
      <c r="AU40" s="78"/>
      <c r="AW40" s="36"/>
    </row>
    <row r="41" s="44" customFormat="1" ht="37" customHeight="1" spans="1:49">
      <c r="A41" s="53"/>
      <c r="B41" s="54"/>
      <c r="C41" s="55"/>
      <c r="D41" s="54"/>
      <c r="E41" s="55"/>
      <c r="F41" s="55"/>
      <c r="G41" s="55"/>
      <c r="H41" s="54"/>
      <c r="I41" s="55"/>
      <c r="J41" s="59"/>
      <c r="K41" s="54"/>
      <c r="L41" s="54"/>
      <c r="M41" s="60"/>
      <c r="N41" s="54"/>
      <c r="O41" s="55"/>
      <c r="P41" s="55"/>
      <c r="Q41" s="55"/>
      <c r="R41" s="55"/>
      <c r="S41" s="55"/>
      <c r="T41" s="55"/>
      <c r="U41" s="55"/>
      <c r="V41" s="54"/>
      <c r="W41" s="54"/>
      <c r="X41" s="54"/>
      <c r="Y41" s="67"/>
      <c r="Z41" s="67"/>
      <c r="AA41" s="67"/>
      <c r="AB41" s="55"/>
      <c r="AC41" s="54"/>
      <c r="AF41" s="68"/>
      <c r="AG41" s="73"/>
      <c r="AH41" s="74"/>
      <c r="AI41" s="75"/>
      <c r="AJ41" s="75"/>
      <c r="AK41" s="75"/>
      <c r="AL41" s="75"/>
      <c r="AM41" s="75"/>
      <c r="AN41" s="75"/>
      <c r="AO41" s="75"/>
      <c r="AP41" s="75"/>
      <c r="AQ41" s="75"/>
      <c r="AR41" s="77"/>
      <c r="AT41" s="75"/>
      <c r="AU41" s="78"/>
      <c r="AW41" s="36"/>
    </row>
    <row r="42" s="44" customFormat="1" ht="37" customHeight="1" spans="1:49">
      <c r="A42" s="53"/>
      <c r="B42" s="54"/>
      <c r="C42" s="55"/>
      <c r="D42" s="54"/>
      <c r="E42" s="55"/>
      <c r="F42" s="55"/>
      <c r="G42" s="55"/>
      <c r="H42" s="54"/>
      <c r="I42" s="55"/>
      <c r="J42" s="59"/>
      <c r="K42" s="54"/>
      <c r="L42" s="54"/>
      <c r="M42" s="60"/>
      <c r="N42" s="54"/>
      <c r="O42" s="55"/>
      <c r="P42" s="55"/>
      <c r="Q42" s="55"/>
      <c r="R42" s="55"/>
      <c r="S42" s="55"/>
      <c r="T42" s="55"/>
      <c r="U42" s="55"/>
      <c r="V42" s="54"/>
      <c r="W42" s="54"/>
      <c r="X42" s="54"/>
      <c r="Y42" s="67"/>
      <c r="Z42" s="67"/>
      <c r="AA42" s="67"/>
      <c r="AB42" s="55"/>
      <c r="AC42" s="54"/>
      <c r="AF42" s="68"/>
      <c r="AG42" s="73"/>
      <c r="AH42" s="74"/>
      <c r="AI42" s="75"/>
      <c r="AJ42" s="75"/>
      <c r="AK42" s="75"/>
      <c r="AL42" s="75"/>
      <c r="AM42" s="75"/>
      <c r="AN42" s="75"/>
      <c r="AO42" s="75"/>
      <c r="AP42" s="75"/>
      <c r="AQ42" s="75"/>
      <c r="AR42" s="77"/>
      <c r="AT42" s="75"/>
      <c r="AU42" s="78"/>
      <c r="AW42" s="36"/>
    </row>
    <row r="43" s="44" customFormat="1" ht="37" customHeight="1" spans="1:49">
      <c r="A43" s="53"/>
      <c r="B43" s="54"/>
      <c r="C43" s="55"/>
      <c r="D43" s="54"/>
      <c r="E43" s="55"/>
      <c r="F43" s="55"/>
      <c r="G43" s="55"/>
      <c r="H43" s="54"/>
      <c r="I43" s="55"/>
      <c r="J43" s="59"/>
      <c r="K43" s="54"/>
      <c r="L43" s="54"/>
      <c r="M43" s="60"/>
      <c r="N43" s="54"/>
      <c r="O43" s="55"/>
      <c r="P43" s="55"/>
      <c r="Q43" s="55"/>
      <c r="R43" s="55"/>
      <c r="S43" s="55"/>
      <c r="T43" s="55"/>
      <c r="U43" s="55"/>
      <c r="V43" s="54"/>
      <c r="W43" s="54"/>
      <c r="X43" s="54"/>
      <c r="Y43" s="67"/>
      <c r="Z43" s="67"/>
      <c r="AA43" s="67"/>
      <c r="AB43" s="55"/>
      <c r="AC43" s="54"/>
      <c r="AF43" s="68"/>
      <c r="AG43" s="73"/>
      <c r="AH43" s="74"/>
      <c r="AI43" s="75"/>
      <c r="AJ43" s="75"/>
      <c r="AK43" s="75"/>
      <c r="AL43" s="75"/>
      <c r="AM43" s="75"/>
      <c r="AN43" s="75"/>
      <c r="AO43" s="75"/>
      <c r="AP43" s="75"/>
      <c r="AQ43" s="75"/>
      <c r="AR43" s="77"/>
      <c r="AT43" s="75"/>
      <c r="AU43" s="78"/>
      <c r="AW43" s="36"/>
    </row>
    <row r="44" s="44" customFormat="1" ht="37" customHeight="1" spans="1:49">
      <c r="A44" s="53"/>
      <c r="B44" s="54"/>
      <c r="C44" s="55"/>
      <c r="D44" s="54"/>
      <c r="E44" s="55"/>
      <c r="F44" s="55"/>
      <c r="G44" s="55"/>
      <c r="H44" s="54"/>
      <c r="I44" s="55"/>
      <c r="J44" s="59"/>
      <c r="K44" s="54"/>
      <c r="L44" s="54"/>
      <c r="M44" s="60"/>
      <c r="N44" s="54"/>
      <c r="O44" s="55"/>
      <c r="P44" s="55"/>
      <c r="Q44" s="55"/>
      <c r="R44" s="55"/>
      <c r="S44" s="55"/>
      <c r="T44" s="55"/>
      <c r="U44" s="55"/>
      <c r="V44" s="54"/>
      <c r="W44" s="54"/>
      <c r="X44" s="54"/>
      <c r="Y44" s="67"/>
      <c r="Z44" s="67"/>
      <c r="AA44" s="67"/>
      <c r="AB44" s="55"/>
      <c r="AC44" s="54"/>
      <c r="AF44" s="68"/>
      <c r="AG44" s="73"/>
      <c r="AH44" s="74"/>
      <c r="AI44" s="75"/>
      <c r="AJ44" s="75"/>
      <c r="AK44" s="75"/>
      <c r="AL44" s="75"/>
      <c r="AM44" s="75"/>
      <c r="AN44" s="75"/>
      <c r="AO44" s="75"/>
      <c r="AP44" s="75"/>
      <c r="AQ44" s="75"/>
      <c r="AR44" s="77"/>
      <c r="AT44" s="75"/>
      <c r="AU44" s="78"/>
      <c r="AW44" s="36"/>
    </row>
    <row r="45" s="44" customFormat="1" ht="37" customHeight="1" spans="1:49">
      <c r="A45" s="53"/>
      <c r="B45" s="54"/>
      <c r="C45" s="55"/>
      <c r="D45" s="54"/>
      <c r="E45" s="55"/>
      <c r="F45" s="55"/>
      <c r="G45" s="55"/>
      <c r="H45" s="54"/>
      <c r="I45" s="55"/>
      <c r="J45" s="59"/>
      <c r="K45" s="54"/>
      <c r="L45" s="54"/>
      <c r="M45" s="60"/>
      <c r="N45" s="54"/>
      <c r="O45" s="55"/>
      <c r="P45" s="55"/>
      <c r="Q45" s="55"/>
      <c r="R45" s="55"/>
      <c r="S45" s="55"/>
      <c r="T45" s="55"/>
      <c r="U45" s="55"/>
      <c r="V45" s="54"/>
      <c r="W45" s="54"/>
      <c r="X45" s="54"/>
      <c r="Y45" s="67"/>
      <c r="Z45" s="67"/>
      <c r="AA45" s="67"/>
      <c r="AB45" s="55"/>
      <c r="AC45" s="54"/>
      <c r="AF45" s="68"/>
      <c r="AG45" s="73"/>
      <c r="AH45" s="74"/>
      <c r="AI45" s="75"/>
      <c r="AJ45" s="75"/>
      <c r="AK45" s="75"/>
      <c r="AL45" s="75"/>
      <c r="AM45" s="75"/>
      <c r="AN45" s="75"/>
      <c r="AO45" s="75"/>
      <c r="AP45" s="75"/>
      <c r="AQ45" s="75"/>
      <c r="AR45" s="77"/>
      <c r="AT45" s="75"/>
      <c r="AU45" s="78"/>
      <c r="AW45" s="36"/>
    </row>
    <row r="46" s="44" customFormat="1" ht="37" customHeight="1" spans="1:49">
      <c r="A46" s="53"/>
      <c r="B46" s="54"/>
      <c r="C46" s="55"/>
      <c r="D46" s="54"/>
      <c r="E46" s="55"/>
      <c r="F46" s="55"/>
      <c r="G46" s="55"/>
      <c r="H46" s="54"/>
      <c r="I46" s="55"/>
      <c r="J46" s="59"/>
      <c r="K46" s="54"/>
      <c r="L46" s="54"/>
      <c r="M46" s="60"/>
      <c r="N46" s="54"/>
      <c r="O46" s="55"/>
      <c r="P46" s="55"/>
      <c r="Q46" s="55"/>
      <c r="R46" s="55"/>
      <c r="S46" s="55"/>
      <c r="T46" s="55"/>
      <c r="U46" s="55"/>
      <c r="V46" s="54"/>
      <c r="W46" s="54"/>
      <c r="X46" s="54"/>
      <c r="Y46" s="67"/>
      <c r="Z46" s="67"/>
      <c r="AA46" s="67"/>
      <c r="AB46" s="55"/>
      <c r="AC46" s="54"/>
      <c r="AF46" s="68"/>
      <c r="AG46" s="73"/>
      <c r="AH46" s="74"/>
      <c r="AI46" s="75"/>
      <c r="AJ46" s="75"/>
      <c r="AK46" s="75"/>
      <c r="AL46" s="75"/>
      <c r="AM46" s="75"/>
      <c r="AN46" s="75"/>
      <c r="AO46" s="75"/>
      <c r="AP46" s="75"/>
      <c r="AQ46" s="75"/>
      <c r="AR46" s="77"/>
      <c r="AT46" s="75"/>
      <c r="AU46" s="78"/>
      <c r="AW46" s="36"/>
    </row>
    <row r="47" s="44" customFormat="1" ht="37" customHeight="1" spans="1:49">
      <c r="A47" s="53"/>
      <c r="B47" s="54"/>
      <c r="C47" s="55"/>
      <c r="D47" s="54"/>
      <c r="E47" s="55"/>
      <c r="F47" s="55"/>
      <c r="G47" s="55"/>
      <c r="H47" s="54"/>
      <c r="I47" s="55"/>
      <c r="J47" s="59"/>
      <c r="K47" s="54"/>
      <c r="L47" s="54"/>
      <c r="M47" s="60"/>
      <c r="N47" s="54"/>
      <c r="O47" s="55"/>
      <c r="P47" s="55"/>
      <c r="Q47" s="55"/>
      <c r="R47" s="55"/>
      <c r="S47" s="55"/>
      <c r="T47" s="55"/>
      <c r="U47" s="55"/>
      <c r="V47" s="54"/>
      <c r="W47" s="54"/>
      <c r="X47" s="54"/>
      <c r="Y47" s="67"/>
      <c r="Z47" s="67"/>
      <c r="AA47" s="67"/>
      <c r="AB47" s="55"/>
      <c r="AC47" s="54"/>
      <c r="AF47" s="68"/>
      <c r="AG47" s="73"/>
      <c r="AH47" s="74"/>
      <c r="AI47" s="75"/>
      <c r="AJ47" s="75"/>
      <c r="AK47" s="75"/>
      <c r="AL47" s="75"/>
      <c r="AM47" s="75"/>
      <c r="AN47" s="75"/>
      <c r="AO47" s="75"/>
      <c r="AP47" s="75"/>
      <c r="AQ47" s="75"/>
      <c r="AR47" s="77"/>
      <c r="AT47" s="75"/>
      <c r="AU47" s="78"/>
      <c r="AW47" s="36"/>
    </row>
    <row r="48" s="44" customFormat="1" ht="37" customHeight="1" spans="1:49">
      <c r="A48" s="53"/>
      <c r="B48" s="54"/>
      <c r="C48" s="55"/>
      <c r="D48" s="54"/>
      <c r="E48" s="55"/>
      <c r="F48" s="55"/>
      <c r="G48" s="55"/>
      <c r="H48" s="54"/>
      <c r="I48" s="55"/>
      <c r="J48" s="59"/>
      <c r="K48" s="54"/>
      <c r="L48" s="54"/>
      <c r="M48" s="60"/>
      <c r="N48" s="54"/>
      <c r="O48" s="55"/>
      <c r="P48" s="55"/>
      <c r="Q48" s="55"/>
      <c r="R48" s="55"/>
      <c r="S48" s="55"/>
      <c r="T48" s="55"/>
      <c r="U48" s="55"/>
      <c r="V48" s="54"/>
      <c r="W48" s="54"/>
      <c r="X48" s="54"/>
      <c r="Y48" s="67"/>
      <c r="Z48" s="67"/>
      <c r="AA48" s="67"/>
      <c r="AB48" s="55"/>
      <c r="AC48" s="54"/>
      <c r="AF48" s="68"/>
      <c r="AG48" s="73"/>
      <c r="AH48" s="74"/>
      <c r="AI48" s="75"/>
      <c r="AJ48" s="75"/>
      <c r="AK48" s="75"/>
      <c r="AL48" s="75"/>
      <c r="AM48" s="75"/>
      <c r="AN48" s="75"/>
      <c r="AO48" s="75"/>
      <c r="AP48" s="75"/>
      <c r="AQ48" s="75"/>
      <c r="AR48" s="77"/>
      <c r="AT48" s="75"/>
      <c r="AU48" s="78"/>
      <c r="AW48" s="36"/>
    </row>
    <row r="49" s="44" customFormat="1" ht="37" customHeight="1" spans="1:49">
      <c r="A49" s="53"/>
      <c r="B49" s="54"/>
      <c r="C49" s="55"/>
      <c r="D49" s="54"/>
      <c r="E49" s="55"/>
      <c r="F49" s="55"/>
      <c r="G49" s="55"/>
      <c r="H49" s="54"/>
      <c r="I49" s="55"/>
      <c r="J49" s="59"/>
      <c r="K49" s="54"/>
      <c r="L49" s="54"/>
      <c r="M49" s="60"/>
      <c r="N49" s="54"/>
      <c r="O49" s="55"/>
      <c r="P49" s="55"/>
      <c r="Q49" s="55"/>
      <c r="R49" s="55"/>
      <c r="S49" s="55"/>
      <c r="T49" s="55"/>
      <c r="U49" s="55"/>
      <c r="V49" s="54"/>
      <c r="W49" s="54"/>
      <c r="X49" s="54"/>
      <c r="Y49" s="67"/>
      <c r="Z49" s="67"/>
      <c r="AA49" s="67"/>
      <c r="AB49" s="55"/>
      <c r="AC49" s="54"/>
      <c r="AF49" s="68"/>
      <c r="AG49" s="73"/>
      <c r="AH49" s="74"/>
      <c r="AI49" s="75"/>
      <c r="AJ49" s="75"/>
      <c r="AK49" s="75"/>
      <c r="AL49" s="75"/>
      <c r="AM49" s="75"/>
      <c r="AN49" s="75"/>
      <c r="AO49" s="75"/>
      <c r="AP49" s="75"/>
      <c r="AQ49" s="75"/>
      <c r="AR49" s="77"/>
      <c r="AT49" s="75"/>
      <c r="AU49" s="78"/>
      <c r="AW49" s="36"/>
    </row>
    <row r="50" s="44" customFormat="1" ht="37" customHeight="1" spans="1:49">
      <c r="A50" s="53"/>
      <c r="B50" s="54"/>
      <c r="C50" s="55"/>
      <c r="D50" s="54"/>
      <c r="E50" s="55"/>
      <c r="F50" s="55"/>
      <c r="G50" s="55"/>
      <c r="H50" s="54"/>
      <c r="I50" s="55"/>
      <c r="J50" s="59"/>
      <c r="K50" s="54"/>
      <c r="L50" s="54"/>
      <c r="M50" s="60"/>
      <c r="N50" s="54"/>
      <c r="O50" s="55"/>
      <c r="P50" s="55"/>
      <c r="Q50" s="55"/>
      <c r="R50" s="55"/>
      <c r="S50" s="55"/>
      <c r="T50" s="55"/>
      <c r="U50" s="55"/>
      <c r="V50" s="54"/>
      <c r="W50" s="54"/>
      <c r="X50" s="54"/>
      <c r="Y50" s="67"/>
      <c r="Z50" s="67"/>
      <c r="AA50" s="67"/>
      <c r="AB50" s="55"/>
      <c r="AC50" s="54"/>
      <c r="AF50" s="68"/>
      <c r="AG50" s="73"/>
      <c r="AH50" s="74"/>
      <c r="AI50" s="75"/>
      <c r="AJ50" s="75"/>
      <c r="AK50" s="75"/>
      <c r="AL50" s="75"/>
      <c r="AM50" s="75"/>
      <c r="AN50" s="75"/>
      <c r="AO50" s="75"/>
      <c r="AP50" s="75"/>
      <c r="AQ50" s="75"/>
      <c r="AR50" s="77"/>
      <c r="AT50" s="75"/>
      <c r="AU50" s="78"/>
      <c r="AW50" s="36"/>
    </row>
    <row r="51" s="44" customFormat="1" ht="37" customHeight="1" spans="1:49">
      <c r="A51" s="53"/>
      <c r="B51" s="54"/>
      <c r="C51" s="55"/>
      <c r="D51" s="54"/>
      <c r="E51" s="55"/>
      <c r="F51" s="55"/>
      <c r="G51" s="55"/>
      <c r="H51" s="54"/>
      <c r="I51" s="55"/>
      <c r="J51" s="59"/>
      <c r="K51" s="54"/>
      <c r="L51" s="54"/>
      <c r="M51" s="60"/>
      <c r="N51" s="54"/>
      <c r="O51" s="55"/>
      <c r="P51" s="55"/>
      <c r="Q51" s="55"/>
      <c r="R51" s="55"/>
      <c r="S51" s="55"/>
      <c r="T51" s="55"/>
      <c r="U51" s="55"/>
      <c r="V51" s="54"/>
      <c r="W51" s="54"/>
      <c r="X51" s="54"/>
      <c r="Y51" s="67"/>
      <c r="Z51" s="67"/>
      <c r="AA51" s="67"/>
      <c r="AB51" s="55"/>
      <c r="AC51" s="54"/>
      <c r="AF51" s="68"/>
      <c r="AG51" s="73"/>
      <c r="AH51" s="74"/>
      <c r="AI51" s="75"/>
      <c r="AJ51" s="75"/>
      <c r="AK51" s="75"/>
      <c r="AL51" s="75"/>
      <c r="AM51" s="75"/>
      <c r="AN51" s="75"/>
      <c r="AO51" s="75"/>
      <c r="AP51" s="75"/>
      <c r="AQ51" s="75"/>
      <c r="AR51" s="77"/>
      <c r="AT51" s="75"/>
      <c r="AU51" s="78"/>
      <c r="AW51" s="36"/>
    </row>
    <row r="52" s="44" customFormat="1" ht="37" customHeight="1" spans="1:49">
      <c r="A52" s="53"/>
      <c r="B52" s="54"/>
      <c r="C52" s="55"/>
      <c r="D52" s="54"/>
      <c r="E52" s="55"/>
      <c r="F52" s="55"/>
      <c r="G52" s="55"/>
      <c r="H52" s="54"/>
      <c r="I52" s="55"/>
      <c r="J52" s="59"/>
      <c r="K52" s="54"/>
      <c r="L52" s="54"/>
      <c r="M52" s="60"/>
      <c r="N52" s="54"/>
      <c r="O52" s="55"/>
      <c r="P52" s="55"/>
      <c r="Q52" s="55"/>
      <c r="R52" s="55"/>
      <c r="S52" s="55"/>
      <c r="T52" s="55"/>
      <c r="U52" s="55"/>
      <c r="V52" s="54"/>
      <c r="W52" s="54"/>
      <c r="X52" s="54"/>
      <c r="Y52" s="67"/>
      <c r="Z52" s="67"/>
      <c r="AA52" s="67"/>
      <c r="AB52" s="55"/>
      <c r="AC52" s="54"/>
      <c r="AF52" s="68"/>
      <c r="AG52" s="73"/>
      <c r="AH52" s="74"/>
      <c r="AI52" s="75"/>
      <c r="AJ52" s="75"/>
      <c r="AK52" s="75"/>
      <c r="AL52" s="75"/>
      <c r="AM52" s="75"/>
      <c r="AN52" s="75"/>
      <c r="AO52" s="75"/>
      <c r="AP52" s="75"/>
      <c r="AQ52" s="75"/>
      <c r="AR52" s="77"/>
      <c r="AT52" s="75"/>
      <c r="AU52" s="78"/>
      <c r="AW52" s="36"/>
    </row>
    <row r="53" s="44" customFormat="1" ht="37" customHeight="1" spans="1:49">
      <c r="A53" s="53"/>
      <c r="B53" s="54"/>
      <c r="C53" s="55"/>
      <c r="D53" s="54"/>
      <c r="E53" s="55"/>
      <c r="F53" s="55"/>
      <c r="G53" s="55"/>
      <c r="H53" s="54"/>
      <c r="I53" s="55"/>
      <c r="J53" s="59"/>
      <c r="K53" s="54"/>
      <c r="L53" s="54"/>
      <c r="M53" s="60"/>
      <c r="N53" s="54"/>
      <c r="O53" s="55"/>
      <c r="P53" s="55"/>
      <c r="Q53" s="55"/>
      <c r="R53" s="55"/>
      <c r="S53" s="55"/>
      <c r="T53" s="55"/>
      <c r="U53" s="55"/>
      <c r="V53" s="54"/>
      <c r="W53" s="54"/>
      <c r="X53" s="54"/>
      <c r="Y53" s="67"/>
      <c r="Z53" s="67"/>
      <c r="AA53" s="67"/>
      <c r="AB53" s="55"/>
      <c r="AC53" s="54"/>
      <c r="AF53" s="68"/>
      <c r="AG53" s="73"/>
      <c r="AH53" s="74"/>
      <c r="AI53" s="75"/>
      <c r="AJ53" s="75"/>
      <c r="AK53" s="75"/>
      <c r="AL53" s="75"/>
      <c r="AM53" s="75"/>
      <c r="AN53" s="75"/>
      <c r="AO53" s="75"/>
      <c r="AP53" s="75"/>
      <c r="AQ53" s="75"/>
      <c r="AR53" s="77"/>
      <c r="AT53" s="75"/>
      <c r="AU53" s="78"/>
      <c r="AW53" s="36"/>
    </row>
    <row r="54" s="44" customFormat="1" ht="37" customHeight="1" spans="1:49">
      <c r="A54" s="53"/>
      <c r="B54" s="54"/>
      <c r="C54" s="55"/>
      <c r="D54" s="54"/>
      <c r="E54" s="55"/>
      <c r="F54" s="55"/>
      <c r="G54" s="55"/>
      <c r="H54" s="54"/>
      <c r="I54" s="55"/>
      <c r="J54" s="59"/>
      <c r="K54" s="54"/>
      <c r="L54" s="54"/>
      <c r="M54" s="60"/>
      <c r="N54" s="54"/>
      <c r="O54" s="55"/>
      <c r="P54" s="55"/>
      <c r="Q54" s="55"/>
      <c r="R54" s="55"/>
      <c r="S54" s="55"/>
      <c r="T54" s="55"/>
      <c r="U54" s="55"/>
      <c r="V54" s="54"/>
      <c r="W54" s="54"/>
      <c r="X54" s="54"/>
      <c r="Y54" s="67"/>
      <c r="Z54" s="67"/>
      <c r="AA54" s="67"/>
      <c r="AB54" s="55"/>
      <c r="AC54" s="54"/>
      <c r="AF54" s="68"/>
      <c r="AG54" s="73"/>
      <c r="AH54" s="74"/>
      <c r="AI54" s="75"/>
      <c r="AJ54" s="75"/>
      <c r="AK54" s="75"/>
      <c r="AL54" s="75"/>
      <c r="AM54" s="75"/>
      <c r="AN54" s="75"/>
      <c r="AO54" s="75"/>
      <c r="AP54" s="75"/>
      <c r="AQ54" s="75"/>
      <c r="AR54" s="77"/>
      <c r="AT54" s="75"/>
      <c r="AU54" s="78"/>
      <c r="AW54" s="36"/>
    </row>
    <row r="55" s="44" customFormat="1" ht="37" customHeight="1" spans="1:49">
      <c r="A55" s="53"/>
      <c r="B55" s="54"/>
      <c r="C55" s="55"/>
      <c r="D55" s="54"/>
      <c r="E55" s="55"/>
      <c r="F55" s="55"/>
      <c r="G55" s="55"/>
      <c r="H55" s="54"/>
      <c r="I55" s="55"/>
      <c r="J55" s="59"/>
      <c r="K55" s="54"/>
      <c r="L55" s="54"/>
      <c r="M55" s="60"/>
      <c r="N55" s="54"/>
      <c r="O55" s="55"/>
      <c r="P55" s="55"/>
      <c r="Q55" s="55"/>
      <c r="R55" s="55"/>
      <c r="S55" s="55"/>
      <c r="T55" s="55"/>
      <c r="U55" s="55"/>
      <c r="V55" s="54"/>
      <c r="W55" s="54"/>
      <c r="X55" s="54"/>
      <c r="Y55" s="67"/>
      <c r="Z55" s="67"/>
      <c r="AA55" s="67"/>
      <c r="AB55" s="55"/>
      <c r="AC55" s="54"/>
      <c r="AF55" s="68"/>
      <c r="AG55" s="73"/>
      <c r="AH55" s="74"/>
      <c r="AI55" s="75"/>
      <c r="AJ55" s="75"/>
      <c r="AK55" s="75"/>
      <c r="AL55" s="75"/>
      <c r="AM55" s="75"/>
      <c r="AN55" s="75"/>
      <c r="AO55" s="75"/>
      <c r="AP55" s="75"/>
      <c r="AQ55" s="75"/>
      <c r="AR55" s="77"/>
      <c r="AT55" s="75"/>
      <c r="AU55" s="78"/>
      <c r="AW55" s="36"/>
    </row>
    <row r="56" s="44" customFormat="1" ht="37" customHeight="1" spans="1:49">
      <c r="A56" s="53"/>
      <c r="B56" s="54"/>
      <c r="C56" s="55"/>
      <c r="D56" s="54"/>
      <c r="E56" s="55"/>
      <c r="F56" s="55"/>
      <c r="G56" s="55"/>
      <c r="H56" s="54"/>
      <c r="I56" s="55"/>
      <c r="J56" s="59"/>
      <c r="K56" s="54"/>
      <c r="L56" s="54"/>
      <c r="M56" s="60"/>
      <c r="N56" s="54"/>
      <c r="O56" s="55"/>
      <c r="P56" s="55"/>
      <c r="Q56" s="55"/>
      <c r="R56" s="55"/>
      <c r="S56" s="55"/>
      <c r="T56" s="55"/>
      <c r="U56" s="55"/>
      <c r="V56" s="54"/>
      <c r="W56" s="54"/>
      <c r="X56" s="54"/>
      <c r="Y56" s="67"/>
      <c r="Z56" s="67"/>
      <c r="AA56" s="67"/>
      <c r="AB56" s="55"/>
      <c r="AC56" s="54"/>
      <c r="AF56" s="68"/>
      <c r="AG56" s="73"/>
      <c r="AH56" s="74"/>
      <c r="AI56" s="75"/>
      <c r="AJ56" s="75"/>
      <c r="AK56" s="75"/>
      <c r="AL56" s="75"/>
      <c r="AM56" s="75"/>
      <c r="AN56" s="75"/>
      <c r="AO56" s="75"/>
      <c r="AP56" s="75"/>
      <c r="AQ56" s="75"/>
      <c r="AR56" s="77"/>
      <c r="AT56" s="75"/>
      <c r="AU56" s="78"/>
      <c r="AW56" s="36"/>
    </row>
    <row r="57" s="44" customFormat="1" ht="37" customHeight="1" spans="1:49">
      <c r="A57" s="53"/>
      <c r="B57" s="54"/>
      <c r="C57" s="55"/>
      <c r="D57" s="54"/>
      <c r="E57" s="55"/>
      <c r="F57" s="55"/>
      <c r="G57" s="55"/>
      <c r="H57" s="54"/>
      <c r="I57" s="55"/>
      <c r="J57" s="59"/>
      <c r="K57" s="54"/>
      <c r="L57" s="54"/>
      <c r="M57" s="60"/>
      <c r="N57" s="54"/>
      <c r="O57" s="55"/>
      <c r="P57" s="55"/>
      <c r="Q57" s="55"/>
      <c r="R57" s="55"/>
      <c r="S57" s="55"/>
      <c r="T57" s="55"/>
      <c r="U57" s="55"/>
      <c r="V57" s="54"/>
      <c r="W57" s="54"/>
      <c r="X57" s="54"/>
      <c r="Y57" s="67"/>
      <c r="Z57" s="67"/>
      <c r="AA57" s="67"/>
      <c r="AB57" s="55"/>
      <c r="AC57" s="54"/>
      <c r="AF57" s="68"/>
      <c r="AG57" s="73"/>
      <c r="AH57" s="74"/>
      <c r="AI57" s="75"/>
      <c r="AJ57" s="75"/>
      <c r="AK57" s="75"/>
      <c r="AL57" s="75"/>
      <c r="AM57" s="75"/>
      <c r="AN57" s="75"/>
      <c r="AO57" s="75"/>
      <c r="AP57" s="75"/>
      <c r="AQ57" s="75"/>
      <c r="AR57" s="77"/>
      <c r="AT57" s="75"/>
      <c r="AU57" s="78"/>
      <c r="AW57" s="36"/>
    </row>
    <row r="58" s="44" customFormat="1" ht="37" customHeight="1" spans="1:49">
      <c r="A58" s="53"/>
      <c r="B58" s="54"/>
      <c r="C58" s="55"/>
      <c r="D58" s="54"/>
      <c r="E58" s="55"/>
      <c r="F58" s="55"/>
      <c r="G58" s="55"/>
      <c r="H58" s="54"/>
      <c r="I58" s="55"/>
      <c r="J58" s="59"/>
      <c r="K58" s="54"/>
      <c r="L58" s="54"/>
      <c r="M58" s="60"/>
      <c r="N58" s="54"/>
      <c r="O58" s="55"/>
      <c r="P58" s="55"/>
      <c r="Q58" s="55"/>
      <c r="R58" s="55"/>
      <c r="S58" s="55"/>
      <c r="T58" s="55"/>
      <c r="U58" s="55"/>
      <c r="V58" s="54"/>
      <c r="W58" s="54"/>
      <c r="X58" s="54"/>
      <c r="Y58" s="67"/>
      <c r="Z58" s="67"/>
      <c r="AA58" s="67"/>
      <c r="AB58" s="55"/>
      <c r="AC58" s="54"/>
      <c r="AF58" s="68"/>
      <c r="AG58" s="73"/>
      <c r="AH58" s="74"/>
      <c r="AI58" s="75"/>
      <c r="AJ58" s="75"/>
      <c r="AK58" s="75"/>
      <c r="AL58" s="75"/>
      <c r="AM58" s="75"/>
      <c r="AN58" s="75"/>
      <c r="AO58" s="75"/>
      <c r="AP58" s="75"/>
      <c r="AQ58" s="75"/>
      <c r="AR58" s="77"/>
      <c r="AT58" s="75"/>
      <c r="AU58" s="78"/>
      <c r="AW58" s="36"/>
    </row>
    <row r="59" s="44" customFormat="1" ht="37" customHeight="1" spans="1:49">
      <c r="A59" s="53"/>
      <c r="B59" s="54"/>
      <c r="C59" s="55"/>
      <c r="D59" s="54"/>
      <c r="E59" s="55"/>
      <c r="F59" s="55"/>
      <c r="G59" s="55"/>
      <c r="H59" s="54"/>
      <c r="I59" s="55"/>
      <c r="J59" s="59"/>
      <c r="K59" s="54"/>
      <c r="L59" s="54"/>
      <c r="M59" s="60"/>
      <c r="N59" s="54"/>
      <c r="O59" s="55"/>
      <c r="P59" s="55"/>
      <c r="Q59" s="55"/>
      <c r="R59" s="55"/>
      <c r="S59" s="55"/>
      <c r="T59" s="55"/>
      <c r="U59" s="55"/>
      <c r="V59" s="54"/>
      <c r="W59" s="54"/>
      <c r="X59" s="54"/>
      <c r="Y59" s="67"/>
      <c r="Z59" s="67"/>
      <c r="AA59" s="67"/>
      <c r="AB59" s="55"/>
      <c r="AC59" s="54"/>
      <c r="AF59" s="68"/>
      <c r="AG59" s="73"/>
      <c r="AH59" s="74"/>
      <c r="AI59" s="75"/>
      <c r="AJ59" s="75"/>
      <c r="AK59" s="75"/>
      <c r="AL59" s="75"/>
      <c r="AM59" s="75"/>
      <c r="AN59" s="75"/>
      <c r="AO59" s="75"/>
      <c r="AP59" s="75"/>
      <c r="AQ59" s="75"/>
      <c r="AR59" s="77"/>
      <c r="AT59" s="75"/>
      <c r="AU59" s="78"/>
      <c r="AW59" s="36"/>
    </row>
    <row r="60" s="44" customFormat="1" ht="37" customHeight="1" spans="1:49">
      <c r="A60" s="53"/>
      <c r="B60" s="54"/>
      <c r="C60" s="55"/>
      <c r="D60" s="54"/>
      <c r="E60" s="55"/>
      <c r="F60" s="55"/>
      <c r="G60" s="55"/>
      <c r="H60" s="54"/>
      <c r="I60" s="55"/>
      <c r="J60" s="59"/>
      <c r="K60" s="54"/>
      <c r="L60" s="54"/>
      <c r="M60" s="60"/>
      <c r="N60" s="54"/>
      <c r="O60" s="55"/>
      <c r="P60" s="55"/>
      <c r="Q60" s="55"/>
      <c r="R60" s="55"/>
      <c r="S60" s="55"/>
      <c r="T60" s="55"/>
      <c r="U60" s="55"/>
      <c r="V60" s="54"/>
      <c r="W60" s="54"/>
      <c r="X60" s="54"/>
      <c r="Y60" s="67"/>
      <c r="Z60" s="67"/>
      <c r="AA60" s="67"/>
      <c r="AB60" s="55"/>
      <c r="AC60" s="54"/>
      <c r="AF60" s="68"/>
      <c r="AG60" s="73"/>
      <c r="AH60" s="74"/>
      <c r="AI60" s="75"/>
      <c r="AJ60" s="75"/>
      <c r="AK60" s="75"/>
      <c r="AL60" s="75"/>
      <c r="AM60" s="75"/>
      <c r="AN60" s="75"/>
      <c r="AO60" s="75"/>
      <c r="AP60" s="75"/>
      <c r="AQ60" s="75"/>
      <c r="AR60" s="77"/>
      <c r="AT60" s="75"/>
      <c r="AU60" s="78"/>
      <c r="AW60" s="36"/>
    </row>
    <row r="61" s="44" customFormat="1" ht="37" customHeight="1" spans="1:49">
      <c r="A61" s="53"/>
      <c r="B61" s="54"/>
      <c r="C61" s="55"/>
      <c r="D61" s="54"/>
      <c r="E61" s="55"/>
      <c r="F61" s="55"/>
      <c r="G61" s="55"/>
      <c r="H61" s="54"/>
      <c r="I61" s="55"/>
      <c r="J61" s="59"/>
      <c r="K61" s="54"/>
      <c r="L61" s="54"/>
      <c r="M61" s="60"/>
      <c r="N61" s="54"/>
      <c r="O61" s="55"/>
      <c r="P61" s="55"/>
      <c r="Q61" s="55"/>
      <c r="R61" s="55"/>
      <c r="S61" s="55"/>
      <c r="T61" s="55"/>
      <c r="U61" s="55"/>
      <c r="V61" s="54"/>
      <c r="W61" s="54"/>
      <c r="X61" s="54"/>
      <c r="Y61" s="67"/>
      <c r="Z61" s="67"/>
      <c r="AA61" s="67"/>
      <c r="AB61" s="55"/>
      <c r="AC61" s="54"/>
      <c r="AF61" s="68"/>
      <c r="AG61" s="73"/>
      <c r="AH61" s="74"/>
      <c r="AI61" s="75"/>
      <c r="AJ61" s="75"/>
      <c r="AK61" s="75"/>
      <c r="AL61" s="75"/>
      <c r="AM61" s="75"/>
      <c r="AN61" s="75"/>
      <c r="AO61" s="75"/>
      <c r="AP61" s="75"/>
      <c r="AQ61" s="75"/>
      <c r="AR61" s="77"/>
      <c r="AT61" s="75"/>
      <c r="AU61" s="78"/>
      <c r="AW61" s="36"/>
    </row>
    <row r="62" s="44" customFormat="1" ht="37" customHeight="1" spans="1:49">
      <c r="A62" s="53"/>
      <c r="B62" s="54"/>
      <c r="C62" s="55"/>
      <c r="D62" s="54"/>
      <c r="E62" s="55"/>
      <c r="F62" s="55"/>
      <c r="G62" s="55"/>
      <c r="H62" s="54"/>
      <c r="I62" s="55"/>
      <c r="J62" s="59"/>
      <c r="K62" s="54"/>
      <c r="L62" s="54"/>
      <c r="M62" s="60"/>
      <c r="N62" s="54"/>
      <c r="O62" s="55"/>
      <c r="P62" s="55"/>
      <c r="Q62" s="55"/>
      <c r="R62" s="55"/>
      <c r="S62" s="55"/>
      <c r="T62" s="55"/>
      <c r="U62" s="55"/>
      <c r="V62" s="54"/>
      <c r="W62" s="54"/>
      <c r="X62" s="54"/>
      <c r="Y62" s="67"/>
      <c r="Z62" s="67"/>
      <c r="AA62" s="67"/>
      <c r="AB62" s="55"/>
      <c r="AC62" s="54"/>
      <c r="AF62" s="68"/>
      <c r="AG62" s="73"/>
      <c r="AH62" s="74"/>
      <c r="AI62" s="75"/>
      <c r="AJ62" s="75"/>
      <c r="AK62" s="75"/>
      <c r="AL62" s="75"/>
      <c r="AM62" s="75"/>
      <c r="AN62" s="75"/>
      <c r="AO62" s="75"/>
      <c r="AP62" s="75"/>
      <c r="AQ62" s="75"/>
      <c r="AR62" s="77"/>
      <c r="AT62" s="75"/>
      <c r="AU62" s="78"/>
      <c r="AW62" s="36"/>
    </row>
    <row r="63" s="44" customFormat="1" ht="37" customHeight="1" spans="1:49">
      <c r="A63" s="53"/>
      <c r="B63" s="54"/>
      <c r="C63" s="55"/>
      <c r="D63" s="54"/>
      <c r="E63" s="55"/>
      <c r="F63" s="55"/>
      <c r="G63" s="55"/>
      <c r="H63" s="54"/>
      <c r="I63" s="55"/>
      <c r="J63" s="59"/>
      <c r="K63" s="54"/>
      <c r="L63" s="54"/>
      <c r="M63" s="60"/>
      <c r="N63" s="54"/>
      <c r="O63" s="55"/>
      <c r="P63" s="55"/>
      <c r="Q63" s="55"/>
      <c r="R63" s="55"/>
      <c r="S63" s="55"/>
      <c r="T63" s="55"/>
      <c r="U63" s="55"/>
      <c r="V63" s="54"/>
      <c r="W63" s="54"/>
      <c r="X63" s="54"/>
      <c r="Y63" s="67"/>
      <c r="Z63" s="67"/>
      <c r="AA63" s="67"/>
      <c r="AB63" s="55"/>
      <c r="AC63" s="54"/>
      <c r="AF63" s="68"/>
      <c r="AG63" s="73"/>
      <c r="AH63" s="74"/>
      <c r="AI63" s="75"/>
      <c r="AJ63" s="75"/>
      <c r="AK63" s="75"/>
      <c r="AL63" s="75"/>
      <c r="AM63" s="75"/>
      <c r="AN63" s="75"/>
      <c r="AO63" s="75"/>
      <c r="AP63" s="75"/>
      <c r="AQ63" s="75"/>
      <c r="AR63" s="77"/>
      <c r="AT63" s="75"/>
      <c r="AU63" s="78"/>
      <c r="AW63" s="36"/>
    </row>
    <row r="64" s="44" customFormat="1" ht="37" customHeight="1" spans="1:49">
      <c r="A64" s="53"/>
      <c r="B64" s="54"/>
      <c r="C64" s="55"/>
      <c r="D64" s="54"/>
      <c r="E64" s="55"/>
      <c r="F64" s="55"/>
      <c r="G64" s="55"/>
      <c r="H64" s="54"/>
      <c r="I64" s="55"/>
      <c r="J64" s="59"/>
      <c r="K64" s="54"/>
      <c r="L64" s="54"/>
      <c r="M64" s="60"/>
      <c r="N64" s="54"/>
      <c r="O64" s="55"/>
      <c r="P64" s="55"/>
      <c r="Q64" s="55"/>
      <c r="R64" s="55"/>
      <c r="S64" s="55"/>
      <c r="T64" s="55"/>
      <c r="U64" s="55"/>
      <c r="V64" s="54"/>
      <c r="W64" s="54"/>
      <c r="X64" s="54"/>
      <c r="Y64" s="67"/>
      <c r="Z64" s="67"/>
      <c r="AA64" s="67"/>
      <c r="AB64" s="55"/>
      <c r="AC64" s="54"/>
      <c r="AF64" s="68"/>
      <c r="AG64" s="73"/>
      <c r="AH64" s="74"/>
      <c r="AI64" s="75"/>
      <c r="AJ64" s="75"/>
      <c r="AK64" s="75"/>
      <c r="AL64" s="75"/>
      <c r="AM64" s="75"/>
      <c r="AN64" s="75"/>
      <c r="AO64" s="75"/>
      <c r="AP64" s="75"/>
      <c r="AQ64" s="75"/>
      <c r="AR64" s="77"/>
      <c r="AT64" s="75"/>
      <c r="AU64" s="78"/>
      <c r="AW64" s="36"/>
    </row>
    <row r="65" s="44" customFormat="1" ht="37" customHeight="1" spans="1:49">
      <c r="A65" s="53"/>
      <c r="B65" s="54"/>
      <c r="C65" s="55"/>
      <c r="D65" s="54"/>
      <c r="E65" s="55"/>
      <c r="F65" s="55"/>
      <c r="G65" s="55"/>
      <c r="H65" s="54"/>
      <c r="I65" s="55"/>
      <c r="J65" s="59"/>
      <c r="K65" s="54"/>
      <c r="L65" s="54"/>
      <c r="M65" s="60"/>
      <c r="N65" s="54"/>
      <c r="O65" s="55"/>
      <c r="P65" s="55"/>
      <c r="Q65" s="55"/>
      <c r="R65" s="55"/>
      <c r="S65" s="55"/>
      <c r="T65" s="55"/>
      <c r="U65" s="55"/>
      <c r="V65" s="54"/>
      <c r="W65" s="54"/>
      <c r="X65" s="54"/>
      <c r="Y65" s="67"/>
      <c r="Z65" s="67"/>
      <c r="AA65" s="67"/>
      <c r="AB65" s="55"/>
      <c r="AC65" s="54"/>
      <c r="AF65" s="68"/>
      <c r="AG65" s="73"/>
      <c r="AH65" s="74"/>
      <c r="AI65" s="75"/>
      <c r="AJ65" s="75"/>
      <c r="AK65" s="75"/>
      <c r="AL65" s="75"/>
      <c r="AM65" s="75"/>
      <c r="AN65" s="75"/>
      <c r="AO65" s="75"/>
      <c r="AP65" s="75"/>
      <c r="AQ65" s="75"/>
      <c r="AR65" s="77"/>
      <c r="AT65" s="75"/>
      <c r="AU65" s="78"/>
      <c r="AW65" s="36"/>
    </row>
    <row r="66" s="44" customFormat="1" ht="37" customHeight="1" spans="1:49">
      <c r="A66" s="53"/>
      <c r="B66" s="54"/>
      <c r="C66" s="55"/>
      <c r="D66" s="54"/>
      <c r="E66" s="55"/>
      <c r="F66" s="55"/>
      <c r="G66" s="55"/>
      <c r="H66" s="54"/>
      <c r="I66" s="55"/>
      <c r="J66" s="59"/>
      <c r="K66" s="54"/>
      <c r="L66" s="54"/>
      <c r="M66" s="60"/>
      <c r="N66" s="54"/>
      <c r="O66" s="55"/>
      <c r="P66" s="55"/>
      <c r="Q66" s="55"/>
      <c r="R66" s="55"/>
      <c r="S66" s="55"/>
      <c r="T66" s="55"/>
      <c r="U66" s="55"/>
      <c r="V66" s="54"/>
      <c r="W66" s="54"/>
      <c r="X66" s="54"/>
      <c r="Y66" s="67"/>
      <c r="Z66" s="67"/>
      <c r="AA66" s="67"/>
      <c r="AB66" s="55"/>
      <c r="AC66" s="54"/>
      <c r="AF66" s="68"/>
      <c r="AG66" s="73"/>
      <c r="AH66" s="74"/>
      <c r="AI66" s="75"/>
      <c r="AJ66" s="75"/>
      <c r="AK66" s="75"/>
      <c r="AL66" s="75"/>
      <c r="AM66" s="75"/>
      <c r="AN66" s="75"/>
      <c r="AO66" s="75"/>
      <c r="AP66" s="75"/>
      <c r="AQ66" s="75"/>
      <c r="AR66" s="77"/>
      <c r="AT66" s="75"/>
      <c r="AU66" s="78"/>
      <c r="AW66" s="36"/>
    </row>
    <row r="67" s="44" customFormat="1" ht="37" customHeight="1" spans="1:49">
      <c r="A67" s="53"/>
      <c r="B67" s="54"/>
      <c r="C67" s="55"/>
      <c r="D67" s="54"/>
      <c r="E67" s="55"/>
      <c r="F67" s="55"/>
      <c r="G67" s="55"/>
      <c r="H67" s="54"/>
      <c r="I67" s="55"/>
      <c r="J67" s="59"/>
      <c r="K67" s="54"/>
      <c r="L67" s="54"/>
      <c r="M67" s="60"/>
      <c r="N67" s="54"/>
      <c r="O67" s="55"/>
      <c r="P67" s="55"/>
      <c r="Q67" s="55"/>
      <c r="R67" s="55"/>
      <c r="S67" s="55"/>
      <c r="T67" s="55"/>
      <c r="U67" s="55"/>
      <c r="V67" s="54"/>
      <c r="W67" s="54"/>
      <c r="X67" s="54"/>
      <c r="Y67" s="67"/>
      <c r="Z67" s="67"/>
      <c r="AA67" s="67"/>
      <c r="AB67" s="55"/>
      <c r="AC67" s="54"/>
      <c r="AF67" s="68"/>
      <c r="AG67" s="73"/>
      <c r="AH67" s="74"/>
      <c r="AI67" s="75"/>
      <c r="AJ67" s="75"/>
      <c r="AK67" s="75"/>
      <c r="AL67" s="75"/>
      <c r="AM67" s="75"/>
      <c r="AN67" s="75"/>
      <c r="AO67" s="75"/>
      <c r="AP67" s="75"/>
      <c r="AQ67" s="75"/>
      <c r="AR67" s="77"/>
      <c r="AT67" s="75"/>
      <c r="AU67" s="78"/>
      <c r="AW67" s="36"/>
    </row>
    <row r="68" s="44" customFormat="1" ht="37" customHeight="1" spans="1:49">
      <c r="A68" s="53"/>
      <c r="B68" s="54"/>
      <c r="C68" s="55"/>
      <c r="D68" s="54"/>
      <c r="E68" s="55"/>
      <c r="F68" s="55"/>
      <c r="G68" s="55"/>
      <c r="H68" s="54"/>
      <c r="I68" s="55"/>
      <c r="J68" s="59"/>
      <c r="K68" s="54"/>
      <c r="L68" s="54"/>
      <c r="M68" s="60"/>
      <c r="N68" s="54"/>
      <c r="O68" s="55"/>
      <c r="P68" s="55"/>
      <c r="Q68" s="55"/>
      <c r="R68" s="55"/>
      <c r="S68" s="55"/>
      <c r="T68" s="55"/>
      <c r="U68" s="55"/>
      <c r="V68" s="54"/>
      <c r="W68" s="54"/>
      <c r="X68" s="54"/>
      <c r="Y68" s="67"/>
      <c r="Z68" s="67"/>
      <c r="AA68" s="67"/>
      <c r="AB68" s="55"/>
      <c r="AC68" s="54"/>
      <c r="AF68" s="68"/>
      <c r="AG68" s="73"/>
      <c r="AH68" s="74"/>
      <c r="AI68" s="75"/>
      <c r="AJ68" s="75"/>
      <c r="AK68" s="75"/>
      <c r="AL68" s="75"/>
      <c r="AM68" s="75"/>
      <c r="AN68" s="75"/>
      <c r="AO68" s="75"/>
      <c r="AP68" s="75"/>
      <c r="AQ68" s="75"/>
      <c r="AR68" s="77"/>
      <c r="AT68" s="75"/>
      <c r="AU68" s="78"/>
      <c r="AW68" s="36"/>
    </row>
    <row r="69" s="44" customFormat="1" ht="37" customHeight="1" spans="1:49">
      <c r="A69" s="53"/>
      <c r="B69" s="54"/>
      <c r="C69" s="55"/>
      <c r="D69" s="54"/>
      <c r="E69" s="55"/>
      <c r="F69" s="55"/>
      <c r="G69" s="55"/>
      <c r="H69" s="54"/>
      <c r="I69" s="55"/>
      <c r="J69" s="59"/>
      <c r="K69" s="54"/>
      <c r="L69" s="54"/>
      <c r="M69" s="60"/>
      <c r="N69" s="54"/>
      <c r="O69" s="55"/>
      <c r="P69" s="55"/>
      <c r="Q69" s="55"/>
      <c r="R69" s="55"/>
      <c r="S69" s="55"/>
      <c r="T69" s="55"/>
      <c r="U69" s="55"/>
      <c r="V69" s="54"/>
      <c r="W69" s="54"/>
      <c r="X69" s="54"/>
      <c r="Y69" s="67"/>
      <c r="Z69" s="67"/>
      <c r="AA69" s="67"/>
      <c r="AB69" s="55"/>
      <c r="AC69" s="54"/>
      <c r="AF69" s="68"/>
      <c r="AG69" s="73"/>
      <c r="AH69" s="74"/>
      <c r="AI69" s="75"/>
      <c r="AJ69" s="75"/>
      <c r="AK69" s="75"/>
      <c r="AL69" s="75"/>
      <c r="AM69" s="75"/>
      <c r="AN69" s="75"/>
      <c r="AO69" s="75"/>
      <c r="AP69" s="75"/>
      <c r="AQ69" s="75"/>
      <c r="AR69" s="77"/>
      <c r="AT69" s="75"/>
      <c r="AU69" s="78"/>
      <c r="AW69" s="36"/>
    </row>
    <row r="70" s="44" customFormat="1" ht="37" customHeight="1" spans="1:49">
      <c r="A70" s="53"/>
      <c r="B70" s="54"/>
      <c r="C70" s="55"/>
      <c r="D70" s="54"/>
      <c r="E70" s="55"/>
      <c r="F70" s="55"/>
      <c r="G70" s="55"/>
      <c r="H70" s="54"/>
      <c r="I70" s="55"/>
      <c r="J70" s="59"/>
      <c r="K70" s="54"/>
      <c r="L70" s="54"/>
      <c r="M70" s="60"/>
      <c r="N70" s="54"/>
      <c r="O70" s="55"/>
      <c r="P70" s="55"/>
      <c r="Q70" s="55"/>
      <c r="R70" s="55"/>
      <c r="S70" s="55"/>
      <c r="T70" s="55"/>
      <c r="U70" s="55"/>
      <c r="V70" s="54"/>
      <c r="W70" s="54"/>
      <c r="X70" s="54"/>
      <c r="Y70" s="67"/>
      <c r="Z70" s="67"/>
      <c r="AA70" s="67"/>
      <c r="AB70" s="55"/>
      <c r="AC70" s="54"/>
      <c r="AF70" s="68"/>
      <c r="AG70" s="73"/>
      <c r="AH70" s="74"/>
      <c r="AI70" s="75"/>
      <c r="AJ70" s="75"/>
      <c r="AK70" s="75"/>
      <c r="AL70" s="75"/>
      <c r="AM70" s="75"/>
      <c r="AN70" s="75"/>
      <c r="AO70" s="75"/>
      <c r="AP70" s="75"/>
      <c r="AQ70" s="75"/>
      <c r="AR70" s="77"/>
      <c r="AT70" s="75"/>
      <c r="AU70" s="78"/>
      <c r="AW70" s="36"/>
    </row>
    <row r="71" s="44" customFormat="1" ht="37" customHeight="1" spans="1:49">
      <c r="A71" s="53"/>
      <c r="B71" s="54"/>
      <c r="C71" s="55"/>
      <c r="D71" s="54"/>
      <c r="E71" s="55"/>
      <c r="F71" s="55"/>
      <c r="G71" s="55"/>
      <c r="H71" s="54"/>
      <c r="I71" s="55"/>
      <c r="J71" s="59"/>
      <c r="K71" s="54"/>
      <c r="L71" s="54"/>
      <c r="M71" s="60"/>
      <c r="N71" s="54"/>
      <c r="O71" s="55"/>
      <c r="P71" s="55"/>
      <c r="Q71" s="55"/>
      <c r="R71" s="55"/>
      <c r="S71" s="55"/>
      <c r="T71" s="55"/>
      <c r="U71" s="55"/>
      <c r="V71" s="54"/>
      <c r="W71" s="54"/>
      <c r="X71" s="54"/>
      <c r="Y71" s="67"/>
      <c r="Z71" s="67"/>
      <c r="AA71" s="67"/>
      <c r="AB71" s="55"/>
      <c r="AC71" s="54"/>
      <c r="AF71" s="68"/>
      <c r="AG71" s="73"/>
      <c r="AH71" s="74"/>
      <c r="AI71" s="75"/>
      <c r="AJ71" s="75"/>
      <c r="AK71" s="75"/>
      <c r="AL71" s="75"/>
      <c r="AM71" s="75"/>
      <c r="AN71" s="75"/>
      <c r="AO71" s="75"/>
      <c r="AP71" s="75"/>
      <c r="AQ71" s="75"/>
      <c r="AR71" s="77"/>
      <c r="AT71" s="75"/>
      <c r="AU71" s="78"/>
      <c r="AW71" s="36"/>
    </row>
    <row r="72" s="44" customFormat="1" ht="37" customHeight="1" spans="1:49">
      <c r="A72" s="53"/>
      <c r="B72" s="54"/>
      <c r="C72" s="55"/>
      <c r="D72" s="54"/>
      <c r="E72" s="55"/>
      <c r="F72" s="55"/>
      <c r="G72" s="55"/>
      <c r="H72" s="54"/>
      <c r="I72" s="55"/>
      <c r="J72" s="59"/>
      <c r="K72" s="54"/>
      <c r="L72" s="54"/>
      <c r="M72" s="60"/>
      <c r="N72" s="54"/>
      <c r="O72" s="55"/>
      <c r="P72" s="55"/>
      <c r="Q72" s="55"/>
      <c r="R72" s="55"/>
      <c r="S72" s="55"/>
      <c r="T72" s="55"/>
      <c r="U72" s="55"/>
      <c r="V72" s="54"/>
      <c r="W72" s="54"/>
      <c r="X72" s="54"/>
      <c r="Y72" s="67"/>
      <c r="Z72" s="67"/>
      <c r="AA72" s="67"/>
      <c r="AB72" s="55"/>
      <c r="AC72" s="54"/>
      <c r="AF72" s="68"/>
      <c r="AG72" s="73"/>
      <c r="AH72" s="74"/>
      <c r="AI72" s="75"/>
      <c r="AJ72" s="75"/>
      <c r="AK72" s="75"/>
      <c r="AL72" s="75"/>
      <c r="AM72" s="75"/>
      <c r="AN72" s="75"/>
      <c r="AO72" s="75"/>
      <c r="AP72" s="75"/>
      <c r="AQ72" s="75"/>
      <c r="AR72" s="77"/>
      <c r="AT72" s="75"/>
      <c r="AU72" s="78"/>
      <c r="AW72" s="36"/>
    </row>
    <row r="73" s="44" customFormat="1" ht="37" customHeight="1" spans="1:49">
      <c r="A73" s="53"/>
      <c r="B73" s="54"/>
      <c r="C73" s="55"/>
      <c r="D73" s="54"/>
      <c r="E73" s="55"/>
      <c r="F73" s="55"/>
      <c r="G73" s="55"/>
      <c r="H73" s="54"/>
      <c r="I73" s="55"/>
      <c r="J73" s="59"/>
      <c r="K73" s="54"/>
      <c r="L73" s="54"/>
      <c r="M73" s="60"/>
      <c r="N73" s="54"/>
      <c r="O73" s="55"/>
      <c r="P73" s="55"/>
      <c r="Q73" s="55"/>
      <c r="R73" s="55"/>
      <c r="S73" s="55"/>
      <c r="T73" s="55"/>
      <c r="U73" s="55"/>
      <c r="V73" s="54"/>
      <c r="W73" s="54"/>
      <c r="X73" s="54"/>
      <c r="Y73" s="67"/>
      <c r="Z73" s="67"/>
      <c r="AA73" s="67"/>
      <c r="AB73" s="55"/>
      <c r="AC73" s="54"/>
      <c r="AF73" s="68"/>
      <c r="AG73" s="73"/>
      <c r="AH73" s="74"/>
      <c r="AI73" s="75"/>
      <c r="AJ73" s="75"/>
      <c r="AK73" s="75"/>
      <c r="AL73" s="75"/>
      <c r="AM73" s="75"/>
      <c r="AN73" s="75"/>
      <c r="AO73" s="75"/>
      <c r="AP73" s="75"/>
      <c r="AQ73" s="75"/>
      <c r="AR73" s="77"/>
      <c r="AT73" s="75"/>
      <c r="AU73" s="78"/>
      <c r="AW73" s="36"/>
    </row>
    <row r="74" s="44" customFormat="1" ht="37" customHeight="1" spans="1:49">
      <c r="A74" s="53"/>
      <c r="B74" s="54"/>
      <c r="C74" s="55"/>
      <c r="D74" s="54"/>
      <c r="E74" s="55"/>
      <c r="F74" s="55"/>
      <c r="G74" s="55"/>
      <c r="H74" s="54"/>
      <c r="I74" s="55"/>
      <c r="J74" s="59"/>
      <c r="K74" s="54"/>
      <c r="L74" s="54"/>
      <c r="M74" s="60"/>
      <c r="N74" s="54"/>
      <c r="O74" s="55"/>
      <c r="P74" s="55"/>
      <c r="Q74" s="55"/>
      <c r="R74" s="55"/>
      <c r="S74" s="55"/>
      <c r="T74" s="55"/>
      <c r="U74" s="55"/>
      <c r="V74" s="54"/>
      <c r="W74" s="54"/>
      <c r="X74" s="54"/>
      <c r="Y74" s="67"/>
      <c r="Z74" s="67"/>
      <c r="AA74" s="67"/>
      <c r="AB74" s="55"/>
      <c r="AC74" s="54"/>
      <c r="AF74" s="68"/>
      <c r="AG74" s="73"/>
      <c r="AH74" s="74"/>
      <c r="AI74" s="75"/>
      <c r="AJ74" s="75"/>
      <c r="AK74" s="75"/>
      <c r="AL74" s="75"/>
      <c r="AM74" s="75"/>
      <c r="AN74" s="75"/>
      <c r="AO74" s="75"/>
      <c r="AP74" s="75"/>
      <c r="AQ74" s="75"/>
      <c r="AR74" s="77"/>
      <c r="AT74" s="75"/>
      <c r="AU74" s="78"/>
      <c r="AW74" s="36"/>
    </row>
    <row r="75" s="44" customFormat="1" ht="37" customHeight="1" spans="1:49">
      <c r="A75" s="53"/>
      <c r="B75" s="54"/>
      <c r="C75" s="55"/>
      <c r="D75" s="54"/>
      <c r="E75" s="55"/>
      <c r="F75" s="55"/>
      <c r="G75" s="55"/>
      <c r="H75" s="54"/>
      <c r="I75" s="55"/>
      <c r="J75" s="59"/>
      <c r="K75" s="54"/>
      <c r="L75" s="54"/>
      <c r="M75" s="60"/>
      <c r="N75" s="54"/>
      <c r="O75" s="55"/>
      <c r="P75" s="55"/>
      <c r="Q75" s="55"/>
      <c r="R75" s="55"/>
      <c r="S75" s="55"/>
      <c r="T75" s="55"/>
      <c r="U75" s="55"/>
      <c r="V75" s="54"/>
      <c r="W75" s="54"/>
      <c r="X75" s="54"/>
      <c r="Y75" s="67"/>
      <c r="Z75" s="67"/>
      <c r="AA75" s="67"/>
      <c r="AB75" s="55"/>
      <c r="AC75" s="54"/>
      <c r="AF75" s="68"/>
      <c r="AG75" s="73"/>
      <c r="AH75" s="74"/>
      <c r="AI75" s="75"/>
      <c r="AJ75" s="75"/>
      <c r="AK75" s="75"/>
      <c r="AL75" s="75"/>
      <c r="AM75" s="75"/>
      <c r="AN75" s="75"/>
      <c r="AO75" s="75"/>
      <c r="AP75" s="75"/>
      <c r="AQ75" s="75"/>
      <c r="AR75" s="77"/>
      <c r="AT75" s="75"/>
      <c r="AU75" s="78"/>
      <c r="AW75" s="36"/>
    </row>
    <row r="76" s="44" customFormat="1" ht="37" customHeight="1" spans="1:49">
      <c r="A76" s="53"/>
      <c r="B76" s="54"/>
      <c r="C76" s="55"/>
      <c r="D76" s="54"/>
      <c r="E76" s="55"/>
      <c r="F76" s="55"/>
      <c r="G76" s="55"/>
      <c r="H76" s="54"/>
      <c r="I76" s="55"/>
      <c r="J76" s="59"/>
      <c r="K76" s="54"/>
      <c r="L76" s="54"/>
      <c r="M76" s="60"/>
      <c r="N76" s="54"/>
      <c r="O76" s="55"/>
      <c r="P76" s="55"/>
      <c r="Q76" s="55"/>
      <c r="R76" s="55"/>
      <c r="S76" s="55"/>
      <c r="T76" s="55"/>
      <c r="U76" s="55"/>
      <c r="V76" s="54"/>
      <c r="W76" s="54"/>
      <c r="X76" s="54"/>
      <c r="Y76" s="67"/>
      <c r="Z76" s="67"/>
      <c r="AA76" s="67"/>
      <c r="AB76" s="55"/>
      <c r="AC76" s="54"/>
      <c r="AF76" s="68"/>
      <c r="AG76" s="73"/>
      <c r="AH76" s="74"/>
      <c r="AI76" s="75"/>
      <c r="AJ76" s="75"/>
      <c r="AK76" s="75"/>
      <c r="AL76" s="75"/>
      <c r="AM76" s="75"/>
      <c r="AN76" s="75"/>
      <c r="AO76" s="75"/>
      <c r="AP76" s="75"/>
      <c r="AQ76" s="75"/>
      <c r="AR76" s="77"/>
      <c r="AT76" s="75"/>
      <c r="AU76" s="78"/>
      <c r="AW76" s="36"/>
    </row>
    <row r="77" s="44" customFormat="1" ht="37" customHeight="1" spans="1:49">
      <c r="A77" s="53"/>
      <c r="B77" s="54"/>
      <c r="C77" s="55"/>
      <c r="D77" s="54"/>
      <c r="E77" s="55"/>
      <c r="F77" s="55"/>
      <c r="G77" s="55"/>
      <c r="H77" s="54"/>
      <c r="I77" s="55"/>
      <c r="J77" s="59"/>
      <c r="K77" s="54"/>
      <c r="L77" s="54"/>
      <c r="M77" s="60"/>
      <c r="N77" s="54"/>
      <c r="O77" s="55"/>
      <c r="P77" s="55"/>
      <c r="Q77" s="55"/>
      <c r="R77" s="55"/>
      <c r="S77" s="55"/>
      <c r="T77" s="55"/>
      <c r="U77" s="55"/>
      <c r="V77" s="54"/>
      <c r="W77" s="54"/>
      <c r="X77" s="54"/>
      <c r="Y77" s="67"/>
      <c r="Z77" s="67"/>
      <c r="AA77" s="67"/>
      <c r="AB77" s="55"/>
      <c r="AC77" s="54"/>
      <c r="AF77" s="68"/>
      <c r="AG77" s="73"/>
      <c r="AH77" s="74"/>
      <c r="AI77" s="75"/>
      <c r="AJ77" s="75"/>
      <c r="AK77" s="75"/>
      <c r="AL77" s="75"/>
      <c r="AM77" s="75"/>
      <c r="AN77" s="75"/>
      <c r="AO77" s="75"/>
      <c r="AP77" s="75"/>
      <c r="AQ77" s="75"/>
      <c r="AR77" s="77"/>
      <c r="AT77" s="75"/>
      <c r="AU77" s="78"/>
      <c r="AW77" s="36"/>
    </row>
    <row r="78" s="44" customFormat="1" ht="37" customHeight="1" spans="1:49">
      <c r="A78" s="53"/>
      <c r="B78" s="54"/>
      <c r="C78" s="55"/>
      <c r="D78" s="54"/>
      <c r="E78" s="55"/>
      <c r="F78" s="55"/>
      <c r="G78" s="55"/>
      <c r="H78" s="54"/>
      <c r="I78" s="55"/>
      <c r="J78" s="59"/>
      <c r="K78" s="54"/>
      <c r="L78" s="54"/>
      <c r="M78" s="60"/>
      <c r="N78" s="54"/>
      <c r="O78" s="55"/>
      <c r="P78" s="55"/>
      <c r="Q78" s="55"/>
      <c r="R78" s="55"/>
      <c r="S78" s="55"/>
      <c r="T78" s="55"/>
      <c r="U78" s="55"/>
      <c r="V78" s="54"/>
      <c r="W78" s="54"/>
      <c r="X78" s="54"/>
      <c r="Y78" s="67"/>
      <c r="Z78" s="67"/>
      <c r="AA78" s="67"/>
      <c r="AB78" s="55"/>
      <c r="AC78" s="54"/>
      <c r="AF78" s="68"/>
      <c r="AG78" s="73"/>
      <c r="AH78" s="74"/>
      <c r="AI78" s="75"/>
      <c r="AJ78" s="75"/>
      <c r="AK78" s="75"/>
      <c r="AL78" s="75"/>
      <c r="AM78" s="75"/>
      <c r="AN78" s="75"/>
      <c r="AO78" s="75"/>
      <c r="AP78" s="75"/>
      <c r="AQ78" s="75"/>
      <c r="AR78" s="77"/>
      <c r="AT78" s="75"/>
      <c r="AU78" s="78"/>
      <c r="AW78" s="36"/>
    </row>
    <row r="79" s="44" customFormat="1" ht="37" customHeight="1" spans="1:49">
      <c r="A79" s="53"/>
      <c r="B79" s="54"/>
      <c r="C79" s="55"/>
      <c r="D79" s="54"/>
      <c r="E79" s="55"/>
      <c r="F79" s="55"/>
      <c r="G79" s="55"/>
      <c r="H79" s="54"/>
      <c r="I79" s="55"/>
      <c r="J79" s="59"/>
      <c r="K79" s="54"/>
      <c r="L79" s="54"/>
      <c r="M79" s="60"/>
      <c r="N79" s="54"/>
      <c r="O79" s="55"/>
      <c r="P79" s="55"/>
      <c r="Q79" s="55"/>
      <c r="R79" s="55"/>
      <c r="S79" s="55"/>
      <c r="T79" s="55"/>
      <c r="U79" s="55"/>
      <c r="V79" s="54"/>
      <c r="W79" s="54"/>
      <c r="X79" s="54"/>
      <c r="Y79" s="67"/>
      <c r="Z79" s="67"/>
      <c r="AA79" s="67"/>
      <c r="AB79" s="55"/>
      <c r="AC79" s="54"/>
      <c r="AF79" s="68"/>
      <c r="AG79" s="73"/>
      <c r="AH79" s="74"/>
      <c r="AI79" s="75"/>
      <c r="AJ79" s="75"/>
      <c r="AK79" s="75"/>
      <c r="AL79" s="75"/>
      <c r="AM79" s="75"/>
      <c r="AN79" s="75"/>
      <c r="AO79" s="75"/>
      <c r="AP79" s="75"/>
      <c r="AQ79" s="75"/>
      <c r="AR79" s="77"/>
      <c r="AT79" s="75"/>
      <c r="AU79" s="78"/>
      <c r="AW79" s="36"/>
    </row>
    <row r="80" s="44" customFormat="1" ht="37" customHeight="1" spans="1:49">
      <c r="A80" s="53"/>
      <c r="B80" s="54"/>
      <c r="C80" s="55"/>
      <c r="D80" s="54"/>
      <c r="E80" s="55"/>
      <c r="F80" s="55"/>
      <c r="G80" s="55"/>
      <c r="H80" s="54"/>
      <c r="I80" s="55"/>
      <c r="J80" s="59"/>
      <c r="K80" s="54"/>
      <c r="L80" s="54"/>
      <c r="M80" s="60"/>
      <c r="N80" s="54"/>
      <c r="O80" s="55"/>
      <c r="P80" s="55"/>
      <c r="Q80" s="55"/>
      <c r="R80" s="55"/>
      <c r="S80" s="55"/>
      <c r="T80" s="55"/>
      <c r="U80" s="55"/>
      <c r="V80" s="54"/>
      <c r="W80" s="54"/>
      <c r="X80" s="54"/>
      <c r="Y80" s="67"/>
      <c r="Z80" s="67"/>
      <c r="AA80" s="67"/>
      <c r="AB80" s="55"/>
      <c r="AC80" s="54"/>
      <c r="AF80" s="68"/>
      <c r="AG80" s="73"/>
      <c r="AH80" s="74"/>
      <c r="AI80" s="75"/>
      <c r="AJ80" s="75"/>
      <c r="AK80" s="75"/>
      <c r="AL80" s="75"/>
      <c r="AM80" s="75"/>
      <c r="AN80" s="75"/>
      <c r="AO80" s="75"/>
      <c r="AP80" s="75"/>
      <c r="AQ80" s="75"/>
      <c r="AR80" s="77"/>
      <c r="AT80" s="75"/>
      <c r="AU80" s="78"/>
      <c r="AW80" s="36"/>
    </row>
    <row r="81" s="44" customFormat="1" ht="37" customHeight="1" spans="1:49">
      <c r="A81" s="53"/>
      <c r="B81" s="54"/>
      <c r="C81" s="55"/>
      <c r="D81" s="54"/>
      <c r="E81" s="55"/>
      <c r="F81" s="55"/>
      <c r="G81" s="55"/>
      <c r="H81" s="54"/>
      <c r="I81" s="55"/>
      <c r="J81" s="59"/>
      <c r="K81" s="54"/>
      <c r="L81" s="54"/>
      <c r="M81" s="60"/>
      <c r="N81" s="54"/>
      <c r="O81" s="55"/>
      <c r="P81" s="55"/>
      <c r="Q81" s="55"/>
      <c r="R81" s="55"/>
      <c r="S81" s="55"/>
      <c r="T81" s="55"/>
      <c r="U81" s="55"/>
      <c r="V81" s="54"/>
      <c r="W81" s="54"/>
      <c r="X81" s="54"/>
      <c r="Y81" s="67"/>
      <c r="Z81" s="67"/>
      <c r="AA81" s="67"/>
      <c r="AB81" s="55"/>
      <c r="AC81" s="54"/>
      <c r="AF81" s="68"/>
      <c r="AG81" s="73"/>
      <c r="AH81" s="74"/>
      <c r="AI81" s="75"/>
      <c r="AJ81" s="75"/>
      <c r="AK81" s="75"/>
      <c r="AL81" s="75"/>
      <c r="AM81" s="75"/>
      <c r="AN81" s="75"/>
      <c r="AO81" s="75"/>
      <c r="AP81" s="75"/>
      <c r="AQ81" s="75"/>
      <c r="AR81" s="77"/>
      <c r="AT81" s="75"/>
      <c r="AU81" s="78"/>
      <c r="AW81" s="36"/>
    </row>
    <row r="82" s="44" customFormat="1" ht="37" customHeight="1" spans="1:49">
      <c r="A82" s="53"/>
      <c r="B82" s="54"/>
      <c r="C82" s="55"/>
      <c r="D82" s="54"/>
      <c r="E82" s="55"/>
      <c r="F82" s="55"/>
      <c r="G82" s="55"/>
      <c r="H82" s="54"/>
      <c r="I82" s="55"/>
      <c r="J82" s="59"/>
      <c r="K82" s="54"/>
      <c r="L82" s="54"/>
      <c r="M82" s="60"/>
      <c r="N82" s="54"/>
      <c r="O82" s="55"/>
      <c r="P82" s="55"/>
      <c r="Q82" s="55"/>
      <c r="R82" s="55"/>
      <c r="S82" s="55"/>
      <c r="T82" s="55"/>
      <c r="U82" s="55"/>
      <c r="V82" s="54"/>
      <c r="W82" s="54"/>
      <c r="X82" s="54"/>
      <c r="Y82" s="67"/>
      <c r="Z82" s="67"/>
      <c r="AA82" s="67"/>
      <c r="AB82" s="55"/>
      <c r="AC82" s="54"/>
      <c r="AF82" s="68"/>
      <c r="AG82" s="73"/>
      <c r="AH82" s="74"/>
      <c r="AI82" s="75"/>
      <c r="AJ82" s="75"/>
      <c r="AK82" s="75"/>
      <c r="AL82" s="75"/>
      <c r="AM82" s="75"/>
      <c r="AN82" s="75"/>
      <c r="AO82" s="75"/>
      <c r="AP82" s="75"/>
      <c r="AQ82" s="75"/>
      <c r="AR82" s="77"/>
      <c r="AT82" s="75"/>
      <c r="AU82" s="78"/>
      <c r="AW82" s="36"/>
    </row>
    <row r="83" s="44" customFormat="1" ht="37" customHeight="1" spans="1:49">
      <c r="A83" s="53"/>
      <c r="B83" s="54"/>
      <c r="C83" s="55"/>
      <c r="D83" s="54"/>
      <c r="E83" s="55"/>
      <c r="F83" s="55"/>
      <c r="G83" s="55"/>
      <c r="H83" s="54"/>
      <c r="I83" s="55"/>
      <c r="J83" s="59"/>
      <c r="K83" s="54"/>
      <c r="L83" s="54"/>
      <c r="M83" s="60"/>
      <c r="N83" s="54"/>
      <c r="O83" s="55"/>
      <c r="P83" s="55"/>
      <c r="Q83" s="55"/>
      <c r="R83" s="55"/>
      <c r="S83" s="55"/>
      <c r="T83" s="55"/>
      <c r="U83" s="55"/>
      <c r="V83" s="54"/>
      <c r="W83" s="54"/>
      <c r="X83" s="54"/>
      <c r="Y83" s="67"/>
      <c r="Z83" s="67"/>
      <c r="AA83" s="67"/>
      <c r="AB83" s="55"/>
      <c r="AC83" s="54"/>
      <c r="AF83" s="68"/>
      <c r="AG83" s="73"/>
      <c r="AH83" s="74"/>
      <c r="AI83" s="75"/>
      <c r="AJ83" s="75"/>
      <c r="AK83" s="75"/>
      <c r="AL83" s="75"/>
      <c r="AM83" s="75"/>
      <c r="AN83" s="75"/>
      <c r="AO83" s="75"/>
      <c r="AP83" s="75"/>
      <c r="AQ83" s="75"/>
      <c r="AR83" s="77"/>
      <c r="AT83" s="75"/>
      <c r="AU83" s="78"/>
      <c r="AW83" s="36"/>
    </row>
    <row r="84" s="44" customFormat="1" ht="37" customHeight="1" spans="1:49">
      <c r="A84" s="53"/>
      <c r="B84" s="54"/>
      <c r="C84" s="55"/>
      <c r="D84" s="54"/>
      <c r="E84" s="55"/>
      <c r="F84" s="55"/>
      <c r="G84" s="55"/>
      <c r="H84" s="54"/>
      <c r="I84" s="55"/>
      <c r="J84" s="59"/>
      <c r="K84" s="54"/>
      <c r="L84" s="54"/>
      <c r="M84" s="60"/>
      <c r="N84" s="54"/>
      <c r="O84" s="55"/>
      <c r="P84" s="55"/>
      <c r="Q84" s="55"/>
      <c r="R84" s="55"/>
      <c r="S84" s="55"/>
      <c r="T84" s="55"/>
      <c r="U84" s="55"/>
      <c r="V84" s="54"/>
      <c r="W84" s="54"/>
      <c r="X84" s="54"/>
      <c r="Y84" s="67"/>
      <c r="Z84" s="67"/>
      <c r="AA84" s="67"/>
      <c r="AB84" s="55"/>
      <c r="AC84" s="54"/>
      <c r="AF84" s="68"/>
      <c r="AG84" s="73"/>
      <c r="AH84" s="74"/>
      <c r="AI84" s="75"/>
      <c r="AJ84" s="75"/>
      <c r="AK84" s="75"/>
      <c r="AL84" s="75"/>
      <c r="AM84" s="75"/>
      <c r="AN84" s="75"/>
      <c r="AO84" s="75"/>
      <c r="AP84" s="75"/>
      <c r="AQ84" s="75"/>
      <c r="AR84" s="77"/>
      <c r="AT84" s="75"/>
      <c r="AU84" s="78"/>
      <c r="AW84" s="36"/>
    </row>
    <row r="85" s="44" customFormat="1" ht="37" customHeight="1" spans="1:49">
      <c r="A85" s="53"/>
      <c r="B85" s="54"/>
      <c r="C85" s="55"/>
      <c r="D85" s="54"/>
      <c r="E85" s="55"/>
      <c r="F85" s="55"/>
      <c r="G85" s="55"/>
      <c r="H85" s="54"/>
      <c r="I85" s="55"/>
      <c r="J85" s="59"/>
      <c r="K85" s="54"/>
      <c r="L85" s="54"/>
      <c r="M85" s="60"/>
      <c r="N85" s="54"/>
      <c r="O85" s="55"/>
      <c r="P85" s="55"/>
      <c r="Q85" s="55"/>
      <c r="R85" s="55"/>
      <c r="S85" s="55"/>
      <c r="T85" s="55"/>
      <c r="U85" s="55"/>
      <c r="V85" s="54"/>
      <c r="W85" s="54"/>
      <c r="X85" s="54"/>
      <c r="Y85" s="67"/>
      <c r="Z85" s="67"/>
      <c r="AA85" s="67"/>
      <c r="AB85" s="55"/>
      <c r="AC85" s="54"/>
      <c r="AF85" s="68"/>
      <c r="AG85" s="73"/>
      <c r="AH85" s="74"/>
      <c r="AI85" s="75"/>
      <c r="AJ85" s="75"/>
      <c r="AK85" s="75"/>
      <c r="AL85" s="75"/>
      <c r="AM85" s="75"/>
      <c r="AN85" s="75"/>
      <c r="AO85" s="75"/>
      <c r="AP85" s="75"/>
      <c r="AQ85" s="75"/>
      <c r="AR85" s="77"/>
      <c r="AT85" s="75"/>
      <c r="AU85" s="78"/>
      <c r="AW85" s="36"/>
    </row>
    <row r="86" s="44" customFormat="1" ht="37" customHeight="1" spans="1:49">
      <c r="A86" s="53"/>
      <c r="B86" s="54"/>
      <c r="C86" s="55"/>
      <c r="D86" s="54"/>
      <c r="E86" s="55"/>
      <c r="F86" s="55"/>
      <c r="G86" s="55"/>
      <c r="H86" s="54"/>
      <c r="I86" s="55"/>
      <c r="J86" s="59"/>
      <c r="K86" s="54"/>
      <c r="L86" s="54"/>
      <c r="M86" s="60"/>
      <c r="N86" s="54"/>
      <c r="O86" s="55"/>
      <c r="P86" s="55"/>
      <c r="Q86" s="55"/>
      <c r="R86" s="55"/>
      <c r="S86" s="55"/>
      <c r="T86" s="55"/>
      <c r="U86" s="55"/>
      <c r="V86" s="54"/>
      <c r="W86" s="54"/>
      <c r="X86" s="54"/>
      <c r="Y86" s="67"/>
      <c r="Z86" s="67"/>
      <c r="AA86" s="67"/>
      <c r="AB86" s="55"/>
      <c r="AC86" s="54"/>
      <c r="AF86" s="68"/>
      <c r="AG86" s="73"/>
      <c r="AH86" s="74"/>
      <c r="AI86" s="75"/>
      <c r="AJ86" s="75"/>
      <c r="AK86" s="75"/>
      <c r="AL86" s="75"/>
      <c r="AM86" s="75"/>
      <c r="AN86" s="75"/>
      <c r="AO86" s="75"/>
      <c r="AP86" s="75"/>
      <c r="AQ86" s="75"/>
      <c r="AR86" s="77"/>
      <c r="AT86" s="75"/>
      <c r="AU86" s="78"/>
      <c r="AW86" s="36"/>
    </row>
    <row r="87" s="44" customFormat="1" ht="37" customHeight="1" spans="1:49">
      <c r="A87" s="53"/>
      <c r="B87" s="54"/>
      <c r="C87" s="55"/>
      <c r="D87" s="54"/>
      <c r="E87" s="55"/>
      <c r="F87" s="55"/>
      <c r="G87" s="55"/>
      <c r="H87" s="54"/>
      <c r="I87" s="55"/>
      <c r="J87" s="59"/>
      <c r="K87" s="54"/>
      <c r="L87" s="54"/>
      <c r="M87" s="60"/>
      <c r="N87" s="54"/>
      <c r="O87" s="55"/>
      <c r="P87" s="55"/>
      <c r="Q87" s="55"/>
      <c r="R87" s="55"/>
      <c r="S87" s="55"/>
      <c r="T87" s="55"/>
      <c r="U87" s="55"/>
      <c r="V87" s="54"/>
      <c r="W87" s="54"/>
      <c r="X87" s="54"/>
      <c r="Y87" s="67"/>
      <c r="Z87" s="67"/>
      <c r="AA87" s="67"/>
      <c r="AB87" s="55"/>
      <c r="AC87" s="54"/>
      <c r="AF87" s="68"/>
      <c r="AG87" s="73"/>
      <c r="AH87" s="74"/>
      <c r="AI87" s="75"/>
      <c r="AJ87" s="75"/>
      <c r="AK87" s="75"/>
      <c r="AL87" s="75"/>
      <c r="AM87" s="75"/>
      <c r="AN87" s="75"/>
      <c r="AO87" s="75"/>
      <c r="AP87" s="75"/>
      <c r="AQ87" s="75"/>
      <c r="AR87" s="77"/>
      <c r="AT87" s="75"/>
      <c r="AU87" s="78"/>
      <c r="AW87" s="36"/>
    </row>
    <row r="88" s="44" customFormat="1" ht="37" customHeight="1" spans="1:49">
      <c r="A88" s="53"/>
      <c r="B88" s="54"/>
      <c r="C88" s="55"/>
      <c r="D88" s="54"/>
      <c r="E88" s="55"/>
      <c r="F88" s="55"/>
      <c r="G88" s="55"/>
      <c r="H88" s="54"/>
      <c r="I88" s="55"/>
      <c r="J88" s="59"/>
      <c r="K88" s="54"/>
      <c r="L88" s="54"/>
      <c r="M88" s="60"/>
      <c r="N88" s="54"/>
      <c r="O88" s="55"/>
      <c r="P88" s="55"/>
      <c r="Q88" s="55"/>
      <c r="R88" s="55"/>
      <c r="S88" s="55"/>
      <c r="T88" s="55"/>
      <c r="U88" s="55"/>
      <c r="V88" s="54"/>
      <c r="W88" s="54"/>
      <c r="X88" s="54"/>
      <c r="Y88" s="67"/>
      <c r="Z88" s="67"/>
      <c r="AA88" s="67"/>
      <c r="AB88" s="55"/>
      <c r="AC88" s="54"/>
      <c r="AF88" s="68"/>
      <c r="AG88" s="73"/>
      <c r="AH88" s="74"/>
      <c r="AI88" s="75"/>
      <c r="AJ88" s="75"/>
      <c r="AK88" s="75"/>
      <c r="AL88" s="75"/>
      <c r="AM88" s="75"/>
      <c r="AN88" s="75"/>
      <c r="AO88" s="75"/>
      <c r="AP88" s="75"/>
      <c r="AQ88" s="75"/>
      <c r="AR88" s="77"/>
      <c r="AT88" s="75"/>
      <c r="AU88" s="78"/>
      <c r="AW88" s="36"/>
    </row>
    <row r="89" s="44" customFormat="1" ht="37" customHeight="1" spans="1:49">
      <c r="A89" s="53"/>
      <c r="B89" s="54"/>
      <c r="C89" s="55"/>
      <c r="D89" s="54"/>
      <c r="E89" s="55"/>
      <c r="F89" s="55"/>
      <c r="G89" s="55"/>
      <c r="H89" s="54"/>
      <c r="I89" s="55"/>
      <c r="J89" s="59"/>
      <c r="K89" s="54"/>
      <c r="L89" s="54"/>
      <c r="M89" s="60"/>
      <c r="N89" s="54"/>
      <c r="O89" s="55"/>
      <c r="P89" s="55"/>
      <c r="Q89" s="55"/>
      <c r="R89" s="55"/>
      <c r="S89" s="55"/>
      <c r="T89" s="55"/>
      <c r="U89" s="55"/>
      <c r="V89" s="54"/>
      <c r="W89" s="54"/>
      <c r="X89" s="54"/>
      <c r="Y89" s="67"/>
      <c r="Z89" s="67"/>
      <c r="AA89" s="67"/>
      <c r="AB89" s="55"/>
      <c r="AC89" s="54"/>
      <c r="AF89" s="68"/>
      <c r="AG89" s="73"/>
      <c r="AH89" s="74"/>
      <c r="AI89" s="75"/>
      <c r="AJ89" s="75"/>
      <c r="AK89" s="75"/>
      <c r="AL89" s="75"/>
      <c r="AM89" s="75"/>
      <c r="AN89" s="75"/>
      <c r="AO89" s="75"/>
      <c r="AP89" s="75"/>
      <c r="AQ89" s="75"/>
      <c r="AR89" s="77"/>
      <c r="AT89" s="75"/>
      <c r="AU89" s="78"/>
      <c r="AW89" s="36"/>
    </row>
    <row r="90" s="44" customFormat="1" ht="37" customHeight="1" spans="1:49">
      <c r="A90" s="53"/>
      <c r="B90" s="54"/>
      <c r="C90" s="55"/>
      <c r="D90" s="54"/>
      <c r="E90" s="55"/>
      <c r="F90" s="55"/>
      <c r="G90" s="55"/>
      <c r="H90" s="54"/>
      <c r="I90" s="55"/>
      <c r="J90" s="59"/>
      <c r="K90" s="54"/>
      <c r="L90" s="54"/>
      <c r="M90" s="60"/>
      <c r="N90" s="54"/>
      <c r="O90" s="55"/>
      <c r="P90" s="55"/>
      <c r="Q90" s="55"/>
      <c r="R90" s="55"/>
      <c r="S90" s="55"/>
      <c r="T90" s="55"/>
      <c r="U90" s="55"/>
      <c r="V90" s="54"/>
      <c r="W90" s="54"/>
      <c r="X90" s="54"/>
      <c r="Y90" s="67"/>
      <c r="Z90" s="67"/>
      <c r="AA90" s="67"/>
      <c r="AB90" s="55"/>
      <c r="AC90" s="54"/>
      <c r="AF90" s="68"/>
      <c r="AG90" s="73"/>
      <c r="AH90" s="74"/>
      <c r="AI90" s="75"/>
      <c r="AJ90" s="75"/>
      <c r="AK90" s="75"/>
      <c r="AL90" s="75"/>
      <c r="AM90" s="75"/>
      <c r="AN90" s="75"/>
      <c r="AO90" s="75"/>
      <c r="AP90" s="75"/>
      <c r="AQ90" s="75"/>
      <c r="AR90" s="77"/>
      <c r="AT90" s="75"/>
      <c r="AU90" s="78"/>
      <c r="AW90" s="36"/>
    </row>
    <row r="91" s="44" customFormat="1" ht="37" customHeight="1" spans="1:49">
      <c r="A91" s="53"/>
      <c r="B91" s="54"/>
      <c r="C91" s="55"/>
      <c r="D91" s="54"/>
      <c r="E91" s="55"/>
      <c r="F91" s="55"/>
      <c r="G91" s="55"/>
      <c r="H91" s="54"/>
      <c r="I91" s="55"/>
      <c r="J91" s="59"/>
      <c r="K91" s="54"/>
      <c r="L91" s="54"/>
      <c r="M91" s="60"/>
      <c r="N91" s="54"/>
      <c r="O91" s="55"/>
      <c r="P91" s="55"/>
      <c r="Q91" s="55"/>
      <c r="R91" s="55"/>
      <c r="S91" s="55"/>
      <c r="T91" s="55"/>
      <c r="U91" s="55"/>
      <c r="V91" s="54"/>
      <c r="W91" s="54"/>
      <c r="X91" s="54"/>
      <c r="Y91" s="67"/>
      <c r="Z91" s="67"/>
      <c r="AA91" s="67"/>
      <c r="AB91" s="55"/>
      <c r="AC91" s="54"/>
      <c r="AF91" s="68"/>
      <c r="AG91" s="73"/>
      <c r="AH91" s="74"/>
      <c r="AI91" s="75"/>
      <c r="AJ91" s="75"/>
      <c r="AK91" s="75"/>
      <c r="AL91" s="75"/>
      <c r="AM91" s="75"/>
      <c r="AN91" s="75"/>
      <c r="AO91" s="75"/>
      <c r="AP91" s="75"/>
      <c r="AQ91" s="75"/>
      <c r="AR91" s="77"/>
      <c r="AT91" s="75"/>
      <c r="AU91" s="78"/>
      <c r="AW91" s="36"/>
    </row>
    <row r="92" s="44" customFormat="1" ht="37" customHeight="1" spans="1:49">
      <c r="A92" s="53"/>
      <c r="B92" s="54"/>
      <c r="C92" s="55"/>
      <c r="D92" s="54"/>
      <c r="E92" s="55"/>
      <c r="F92" s="55"/>
      <c r="G92" s="55"/>
      <c r="H92" s="54"/>
      <c r="I92" s="55"/>
      <c r="J92" s="59"/>
      <c r="K92" s="54"/>
      <c r="L92" s="54"/>
      <c r="M92" s="60"/>
      <c r="N92" s="54"/>
      <c r="O92" s="55"/>
      <c r="P92" s="55"/>
      <c r="Q92" s="55"/>
      <c r="R92" s="55"/>
      <c r="S92" s="55"/>
      <c r="T92" s="55"/>
      <c r="U92" s="55"/>
      <c r="V92" s="54"/>
      <c r="W92" s="54"/>
      <c r="X92" s="54"/>
      <c r="Y92" s="67"/>
      <c r="Z92" s="67"/>
      <c r="AA92" s="67"/>
      <c r="AB92" s="55"/>
      <c r="AC92" s="54"/>
      <c r="AF92" s="68"/>
      <c r="AG92" s="73"/>
      <c r="AH92" s="74"/>
      <c r="AI92" s="75"/>
      <c r="AJ92" s="75"/>
      <c r="AK92" s="75"/>
      <c r="AL92" s="75"/>
      <c r="AM92" s="75"/>
      <c r="AN92" s="75"/>
      <c r="AO92" s="75"/>
      <c r="AP92" s="75"/>
      <c r="AQ92" s="75"/>
      <c r="AR92" s="77"/>
      <c r="AT92" s="75"/>
      <c r="AU92" s="78"/>
      <c r="AW92" s="36"/>
    </row>
    <row r="93" s="44" customFormat="1" ht="37" customHeight="1" spans="1:49">
      <c r="A93" s="53"/>
      <c r="B93" s="54"/>
      <c r="C93" s="55"/>
      <c r="D93" s="54"/>
      <c r="E93" s="55"/>
      <c r="F93" s="55"/>
      <c r="G93" s="55"/>
      <c r="H93" s="54"/>
      <c r="I93" s="55"/>
      <c r="J93" s="59"/>
      <c r="K93" s="54"/>
      <c r="L93" s="54"/>
      <c r="M93" s="60"/>
      <c r="N93" s="54"/>
      <c r="O93" s="55"/>
      <c r="P93" s="55"/>
      <c r="Q93" s="55"/>
      <c r="R93" s="55"/>
      <c r="S93" s="55"/>
      <c r="T93" s="55"/>
      <c r="U93" s="55"/>
      <c r="V93" s="54"/>
      <c r="W93" s="54"/>
      <c r="X93" s="54"/>
      <c r="Y93" s="67"/>
      <c r="Z93" s="67"/>
      <c r="AA93" s="67"/>
      <c r="AB93" s="55"/>
      <c r="AC93" s="54"/>
      <c r="AF93" s="68"/>
      <c r="AG93" s="73"/>
      <c r="AH93" s="74"/>
      <c r="AI93" s="75"/>
      <c r="AJ93" s="75"/>
      <c r="AK93" s="75"/>
      <c r="AL93" s="75"/>
      <c r="AM93" s="75"/>
      <c r="AN93" s="75"/>
      <c r="AO93" s="75"/>
      <c r="AP93" s="75"/>
      <c r="AQ93" s="75"/>
      <c r="AR93" s="77"/>
      <c r="AT93" s="75"/>
      <c r="AU93" s="78"/>
      <c r="AW93" s="36"/>
    </row>
    <row r="94" s="44" customFormat="1" ht="37" customHeight="1" spans="1:49">
      <c r="A94" s="53"/>
      <c r="B94" s="54"/>
      <c r="C94" s="55"/>
      <c r="D94" s="54"/>
      <c r="E94" s="55"/>
      <c r="F94" s="55"/>
      <c r="G94" s="55"/>
      <c r="H94" s="54"/>
      <c r="I94" s="55"/>
      <c r="J94" s="59"/>
      <c r="K94" s="54"/>
      <c r="L94" s="54"/>
      <c r="M94" s="60"/>
      <c r="N94" s="54"/>
      <c r="O94" s="55"/>
      <c r="P94" s="55"/>
      <c r="Q94" s="55"/>
      <c r="R94" s="55"/>
      <c r="S94" s="55"/>
      <c r="T94" s="55"/>
      <c r="U94" s="55"/>
      <c r="V94" s="54"/>
      <c r="W94" s="54"/>
      <c r="X94" s="54"/>
      <c r="Y94" s="67"/>
      <c r="Z94" s="67"/>
      <c r="AA94" s="67"/>
      <c r="AB94" s="55"/>
      <c r="AC94" s="54"/>
      <c r="AF94" s="68"/>
      <c r="AG94" s="73"/>
      <c r="AH94" s="74"/>
      <c r="AI94" s="75"/>
      <c r="AJ94" s="75"/>
      <c r="AK94" s="75"/>
      <c r="AL94" s="75"/>
      <c r="AM94" s="75"/>
      <c r="AN94" s="75"/>
      <c r="AO94" s="75"/>
      <c r="AP94" s="75"/>
      <c r="AQ94" s="75"/>
      <c r="AR94" s="77"/>
      <c r="AT94" s="75"/>
      <c r="AU94" s="78"/>
      <c r="AW94" s="36"/>
    </row>
    <row r="95" s="44" customFormat="1" ht="37" customHeight="1" spans="1:49">
      <c r="A95" s="53"/>
      <c r="B95" s="54"/>
      <c r="C95" s="55"/>
      <c r="D95" s="54"/>
      <c r="E95" s="55"/>
      <c r="F95" s="55"/>
      <c r="G95" s="55"/>
      <c r="H95" s="54"/>
      <c r="I95" s="55"/>
      <c r="J95" s="59"/>
      <c r="K95" s="54"/>
      <c r="L95" s="54"/>
      <c r="M95" s="60"/>
      <c r="N95" s="54"/>
      <c r="O95" s="55"/>
      <c r="P95" s="55"/>
      <c r="Q95" s="55"/>
      <c r="R95" s="55"/>
      <c r="S95" s="55"/>
      <c r="T95" s="55"/>
      <c r="U95" s="55"/>
      <c r="V95" s="54"/>
      <c r="W95" s="54"/>
      <c r="X95" s="54"/>
      <c r="Y95" s="67"/>
      <c r="Z95" s="67"/>
      <c r="AA95" s="67"/>
      <c r="AB95" s="55"/>
      <c r="AC95" s="54"/>
      <c r="AF95" s="68"/>
      <c r="AG95" s="73"/>
      <c r="AH95" s="74"/>
      <c r="AI95" s="75"/>
      <c r="AJ95" s="75"/>
      <c r="AK95" s="75"/>
      <c r="AL95" s="75"/>
      <c r="AM95" s="75"/>
      <c r="AN95" s="75"/>
      <c r="AO95" s="75"/>
      <c r="AP95" s="75"/>
      <c r="AQ95" s="75"/>
      <c r="AR95" s="77"/>
      <c r="AT95" s="75"/>
      <c r="AU95" s="78"/>
      <c r="AW95" s="36"/>
    </row>
    <row r="96" s="44" customFormat="1" ht="37" customHeight="1" spans="1:49">
      <c r="A96" s="53"/>
      <c r="B96" s="54"/>
      <c r="C96" s="55"/>
      <c r="D96" s="54"/>
      <c r="E96" s="55"/>
      <c r="F96" s="55"/>
      <c r="G96" s="55"/>
      <c r="H96" s="54"/>
      <c r="I96" s="55"/>
      <c r="J96" s="59"/>
      <c r="K96" s="54"/>
      <c r="L96" s="54"/>
      <c r="M96" s="60"/>
      <c r="N96" s="54"/>
      <c r="O96" s="55"/>
      <c r="P96" s="55"/>
      <c r="Q96" s="55"/>
      <c r="R96" s="55"/>
      <c r="S96" s="55"/>
      <c r="T96" s="55"/>
      <c r="U96" s="55"/>
      <c r="V96" s="54"/>
      <c r="W96" s="54"/>
      <c r="X96" s="54"/>
      <c r="Y96" s="67"/>
      <c r="Z96" s="67"/>
      <c r="AA96" s="67"/>
      <c r="AB96" s="55"/>
      <c r="AC96" s="54"/>
      <c r="AF96" s="68"/>
      <c r="AG96" s="73"/>
      <c r="AH96" s="74"/>
      <c r="AI96" s="75"/>
      <c r="AJ96" s="75"/>
      <c r="AK96" s="75"/>
      <c r="AL96" s="75"/>
      <c r="AM96" s="75"/>
      <c r="AN96" s="75"/>
      <c r="AO96" s="75"/>
      <c r="AP96" s="75"/>
      <c r="AQ96" s="75"/>
      <c r="AR96" s="77"/>
      <c r="AT96" s="75"/>
      <c r="AU96" s="78"/>
      <c r="AW96" s="36"/>
    </row>
    <row r="97" s="44" customFormat="1" ht="37" customHeight="1" spans="1:49">
      <c r="A97" s="53"/>
      <c r="B97" s="54"/>
      <c r="C97" s="55"/>
      <c r="D97" s="54"/>
      <c r="E97" s="55"/>
      <c r="F97" s="55"/>
      <c r="G97" s="55"/>
      <c r="H97" s="54"/>
      <c r="I97" s="55"/>
      <c r="J97" s="59"/>
      <c r="K97" s="54"/>
      <c r="L97" s="54"/>
      <c r="M97" s="60"/>
      <c r="N97" s="54"/>
      <c r="O97" s="55"/>
      <c r="P97" s="55"/>
      <c r="Q97" s="55"/>
      <c r="R97" s="55"/>
      <c r="S97" s="55"/>
      <c r="T97" s="55"/>
      <c r="U97" s="55"/>
      <c r="V97" s="54"/>
      <c r="W97" s="54"/>
      <c r="X97" s="54"/>
      <c r="Y97" s="67"/>
      <c r="Z97" s="67"/>
      <c r="AA97" s="67"/>
      <c r="AB97" s="55"/>
      <c r="AC97" s="54"/>
      <c r="AF97" s="68"/>
      <c r="AG97" s="73"/>
      <c r="AH97" s="74"/>
      <c r="AI97" s="75"/>
      <c r="AJ97" s="75"/>
      <c r="AK97" s="75"/>
      <c r="AL97" s="75"/>
      <c r="AM97" s="75"/>
      <c r="AN97" s="75"/>
      <c r="AO97" s="75"/>
      <c r="AP97" s="75"/>
      <c r="AQ97" s="75"/>
      <c r="AR97" s="77"/>
      <c r="AT97" s="75"/>
      <c r="AU97" s="78"/>
      <c r="AW97" s="36"/>
    </row>
    <row r="98" s="44" customFormat="1" ht="37" customHeight="1" spans="1:49">
      <c r="A98" s="53"/>
      <c r="B98" s="54"/>
      <c r="C98" s="55"/>
      <c r="D98" s="54"/>
      <c r="E98" s="55"/>
      <c r="F98" s="55"/>
      <c r="G98" s="55"/>
      <c r="H98" s="54"/>
      <c r="I98" s="55"/>
      <c r="J98" s="59"/>
      <c r="K98" s="54"/>
      <c r="L98" s="54"/>
      <c r="M98" s="60"/>
      <c r="N98" s="54"/>
      <c r="O98" s="55"/>
      <c r="P98" s="55"/>
      <c r="Q98" s="55"/>
      <c r="R98" s="55"/>
      <c r="S98" s="55"/>
      <c r="T98" s="55"/>
      <c r="U98" s="55"/>
      <c r="V98" s="54"/>
      <c r="W98" s="54"/>
      <c r="X98" s="54"/>
      <c r="Y98" s="67"/>
      <c r="Z98" s="67"/>
      <c r="AA98" s="67"/>
      <c r="AB98" s="55"/>
      <c r="AC98" s="54"/>
      <c r="AF98" s="68"/>
      <c r="AG98" s="73"/>
      <c r="AH98" s="74"/>
      <c r="AI98" s="75"/>
      <c r="AJ98" s="75"/>
      <c r="AK98" s="75"/>
      <c r="AL98" s="75"/>
      <c r="AM98" s="75"/>
      <c r="AN98" s="75"/>
      <c r="AO98" s="75"/>
      <c r="AP98" s="75"/>
      <c r="AQ98" s="75"/>
      <c r="AR98" s="77"/>
      <c r="AT98" s="75"/>
      <c r="AU98" s="78"/>
      <c r="AW98" s="36"/>
    </row>
    <row r="99" s="44" customFormat="1" ht="37" customHeight="1" spans="1:49">
      <c r="A99" s="53"/>
      <c r="B99" s="54"/>
      <c r="C99" s="55"/>
      <c r="D99" s="54"/>
      <c r="E99" s="55"/>
      <c r="F99" s="55"/>
      <c r="G99" s="55"/>
      <c r="H99" s="54"/>
      <c r="I99" s="55"/>
      <c r="J99" s="59"/>
      <c r="K99" s="54"/>
      <c r="L99" s="54"/>
      <c r="M99" s="60"/>
      <c r="N99" s="54"/>
      <c r="O99" s="55"/>
      <c r="P99" s="55"/>
      <c r="Q99" s="55"/>
      <c r="R99" s="55"/>
      <c r="S99" s="55"/>
      <c r="T99" s="55"/>
      <c r="U99" s="55"/>
      <c r="V99" s="54"/>
      <c r="W99" s="54"/>
      <c r="X99" s="54"/>
      <c r="Y99" s="67"/>
      <c r="Z99" s="67"/>
      <c r="AA99" s="67"/>
      <c r="AB99" s="55"/>
      <c r="AC99" s="54"/>
      <c r="AF99" s="68"/>
      <c r="AG99" s="73"/>
      <c r="AH99" s="74"/>
      <c r="AI99" s="75"/>
      <c r="AJ99" s="75"/>
      <c r="AK99" s="75"/>
      <c r="AL99" s="75"/>
      <c r="AM99" s="75"/>
      <c r="AN99" s="75"/>
      <c r="AO99" s="75"/>
      <c r="AP99" s="75"/>
      <c r="AQ99" s="75"/>
      <c r="AR99" s="77"/>
      <c r="AT99" s="75"/>
      <c r="AU99" s="78"/>
      <c r="AW99" s="36"/>
    </row>
    <row r="100" s="44" customFormat="1" ht="37" customHeight="1" spans="1:49">
      <c r="A100" s="53"/>
      <c r="B100" s="54"/>
      <c r="C100" s="55"/>
      <c r="D100" s="54"/>
      <c r="E100" s="55"/>
      <c r="F100" s="55"/>
      <c r="G100" s="55"/>
      <c r="H100" s="54"/>
      <c r="I100" s="55"/>
      <c r="J100" s="59"/>
      <c r="K100" s="54"/>
      <c r="L100" s="54"/>
      <c r="M100" s="60"/>
      <c r="N100" s="54"/>
      <c r="O100" s="55"/>
      <c r="P100" s="55"/>
      <c r="Q100" s="55"/>
      <c r="R100" s="55"/>
      <c r="S100" s="55"/>
      <c r="T100" s="55"/>
      <c r="U100" s="55"/>
      <c r="V100" s="54"/>
      <c r="W100" s="54"/>
      <c r="X100" s="54"/>
      <c r="Y100" s="67"/>
      <c r="Z100" s="67"/>
      <c r="AA100" s="67"/>
      <c r="AB100" s="55"/>
      <c r="AC100" s="54"/>
      <c r="AF100" s="68"/>
      <c r="AG100" s="73"/>
      <c r="AH100" s="74"/>
      <c r="AI100" s="75"/>
      <c r="AJ100" s="75"/>
      <c r="AK100" s="75"/>
      <c r="AL100" s="75"/>
      <c r="AM100" s="75"/>
      <c r="AN100" s="75"/>
      <c r="AO100" s="75"/>
      <c r="AP100" s="75"/>
      <c r="AQ100" s="75"/>
      <c r="AR100" s="77"/>
      <c r="AT100" s="75"/>
      <c r="AU100" s="78"/>
      <c r="AW100" s="36"/>
    </row>
    <row r="101" s="44" customFormat="1" ht="37" customHeight="1" spans="1:49">
      <c r="A101" s="53"/>
      <c r="B101" s="54"/>
      <c r="C101" s="55"/>
      <c r="D101" s="54"/>
      <c r="E101" s="55"/>
      <c r="F101" s="55"/>
      <c r="G101" s="55"/>
      <c r="H101" s="54"/>
      <c r="I101" s="55"/>
      <c r="J101" s="59"/>
      <c r="K101" s="54"/>
      <c r="L101" s="54"/>
      <c r="M101" s="60"/>
      <c r="N101" s="54"/>
      <c r="O101" s="55"/>
      <c r="P101" s="55"/>
      <c r="Q101" s="55"/>
      <c r="R101" s="55"/>
      <c r="S101" s="55"/>
      <c r="T101" s="55"/>
      <c r="U101" s="55"/>
      <c r="V101" s="54"/>
      <c r="W101" s="54"/>
      <c r="X101" s="54"/>
      <c r="Y101" s="67"/>
      <c r="Z101" s="67"/>
      <c r="AA101" s="67"/>
      <c r="AB101" s="55"/>
      <c r="AC101" s="54"/>
      <c r="AF101" s="68"/>
      <c r="AG101" s="73"/>
      <c r="AH101" s="74"/>
      <c r="AI101" s="75"/>
      <c r="AJ101" s="75"/>
      <c r="AK101" s="75"/>
      <c r="AL101" s="75"/>
      <c r="AM101" s="75"/>
      <c r="AN101" s="75"/>
      <c r="AO101" s="75"/>
      <c r="AP101" s="75"/>
      <c r="AQ101" s="75"/>
      <c r="AR101" s="77"/>
      <c r="AT101" s="75"/>
      <c r="AU101" s="78"/>
      <c r="AW101" s="36"/>
    </row>
    <row r="102" s="44" customFormat="1" ht="37" customHeight="1" spans="1:49">
      <c r="A102" s="53"/>
      <c r="B102" s="54"/>
      <c r="C102" s="55"/>
      <c r="D102" s="54"/>
      <c r="E102" s="55"/>
      <c r="F102" s="55"/>
      <c r="G102" s="55"/>
      <c r="H102" s="54"/>
      <c r="I102" s="55"/>
      <c r="J102" s="59"/>
      <c r="K102" s="54"/>
      <c r="L102" s="54"/>
      <c r="M102" s="60"/>
      <c r="N102" s="54"/>
      <c r="O102" s="55"/>
      <c r="P102" s="55"/>
      <c r="Q102" s="55"/>
      <c r="R102" s="55"/>
      <c r="S102" s="55"/>
      <c r="T102" s="55"/>
      <c r="U102" s="55"/>
      <c r="V102" s="54"/>
      <c r="W102" s="54"/>
      <c r="X102" s="54"/>
      <c r="Y102" s="67"/>
      <c r="Z102" s="67"/>
      <c r="AA102" s="67"/>
      <c r="AB102" s="55"/>
      <c r="AC102" s="54"/>
      <c r="AF102" s="68"/>
      <c r="AG102" s="73"/>
      <c r="AH102" s="74"/>
      <c r="AI102" s="75"/>
      <c r="AJ102" s="75"/>
      <c r="AK102" s="75"/>
      <c r="AL102" s="75"/>
      <c r="AM102" s="75"/>
      <c r="AN102" s="75"/>
      <c r="AO102" s="75"/>
      <c r="AP102" s="75"/>
      <c r="AQ102" s="75"/>
      <c r="AR102" s="77"/>
      <c r="AT102" s="75"/>
      <c r="AU102" s="78"/>
      <c r="AW102" s="36"/>
    </row>
    <row r="103" s="44" customFormat="1" ht="37" customHeight="1" spans="1:49">
      <c r="A103" s="53"/>
      <c r="B103" s="54"/>
      <c r="C103" s="55"/>
      <c r="D103" s="54"/>
      <c r="E103" s="55"/>
      <c r="F103" s="55"/>
      <c r="G103" s="55"/>
      <c r="H103" s="54"/>
      <c r="I103" s="55"/>
      <c r="J103" s="59"/>
      <c r="K103" s="54"/>
      <c r="L103" s="54"/>
      <c r="M103" s="60"/>
      <c r="N103" s="54"/>
      <c r="O103" s="55"/>
      <c r="P103" s="55"/>
      <c r="Q103" s="55"/>
      <c r="R103" s="55"/>
      <c r="S103" s="55"/>
      <c r="T103" s="55"/>
      <c r="U103" s="55"/>
      <c r="V103" s="54"/>
      <c r="W103" s="54"/>
      <c r="X103" s="54"/>
      <c r="Y103" s="67"/>
      <c r="Z103" s="67"/>
      <c r="AA103" s="67"/>
      <c r="AB103" s="55"/>
      <c r="AC103" s="54"/>
      <c r="AF103" s="68"/>
      <c r="AG103" s="73"/>
      <c r="AH103" s="74"/>
      <c r="AI103" s="75"/>
      <c r="AJ103" s="75"/>
      <c r="AK103" s="75"/>
      <c r="AL103" s="75"/>
      <c r="AM103" s="75"/>
      <c r="AN103" s="75"/>
      <c r="AO103" s="75"/>
      <c r="AP103" s="75"/>
      <c r="AQ103" s="75"/>
      <c r="AR103" s="77"/>
      <c r="AT103" s="75"/>
      <c r="AU103" s="78"/>
      <c r="AW103" s="36"/>
    </row>
    <row r="104" s="44" customFormat="1" ht="37" customHeight="1" spans="1:49">
      <c r="A104" s="53"/>
      <c r="B104" s="54"/>
      <c r="C104" s="55"/>
      <c r="D104" s="54"/>
      <c r="E104" s="55"/>
      <c r="F104" s="55"/>
      <c r="G104" s="55"/>
      <c r="H104" s="54"/>
      <c r="I104" s="55"/>
      <c r="J104" s="59"/>
      <c r="K104" s="54"/>
      <c r="L104" s="54"/>
      <c r="M104" s="60"/>
      <c r="N104" s="54"/>
      <c r="O104" s="55"/>
      <c r="P104" s="55"/>
      <c r="Q104" s="55"/>
      <c r="R104" s="55"/>
      <c r="S104" s="55"/>
      <c r="T104" s="55"/>
      <c r="U104" s="55"/>
      <c r="V104" s="54"/>
      <c r="W104" s="54"/>
      <c r="X104" s="54"/>
      <c r="Y104" s="67"/>
      <c r="Z104" s="67"/>
      <c r="AA104" s="67"/>
      <c r="AB104" s="55"/>
      <c r="AC104" s="54"/>
      <c r="AF104" s="68"/>
      <c r="AG104" s="73"/>
      <c r="AH104" s="74"/>
      <c r="AI104" s="75"/>
      <c r="AJ104" s="75"/>
      <c r="AK104" s="75"/>
      <c r="AL104" s="75"/>
      <c r="AM104" s="75"/>
      <c r="AN104" s="75"/>
      <c r="AO104" s="75"/>
      <c r="AP104" s="75"/>
      <c r="AQ104" s="75"/>
      <c r="AR104" s="77"/>
      <c r="AT104" s="75"/>
      <c r="AU104" s="78"/>
      <c r="AW104" s="36"/>
    </row>
    <row r="105" s="44" customFormat="1" ht="37" customHeight="1" spans="1:49">
      <c r="A105" s="53"/>
      <c r="B105" s="54"/>
      <c r="C105" s="55"/>
      <c r="D105" s="54"/>
      <c r="E105" s="55"/>
      <c r="F105" s="55"/>
      <c r="G105" s="55"/>
      <c r="H105" s="54"/>
      <c r="I105" s="55"/>
      <c r="J105" s="59"/>
      <c r="K105" s="54"/>
      <c r="L105" s="54"/>
      <c r="M105" s="60"/>
      <c r="N105" s="54"/>
      <c r="O105" s="55"/>
      <c r="P105" s="55"/>
      <c r="Q105" s="55"/>
      <c r="R105" s="55"/>
      <c r="S105" s="55"/>
      <c r="T105" s="55"/>
      <c r="U105" s="55"/>
      <c r="V105" s="54"/>
      <c r="W105" s="54"/>
      <c r="X105" s="54"/>
      <c r="Y105" s="67"/>
      <c r="Z105" s="67"/>
      <c r="AA105" s="67"/>
      <c r="AB105" s="55"/>
      <c r="AC105" s="54"/>
      <c r="AF105" s="68"/>
      <c r="AG105" s="73"/>
      <c r="AH105" s="74"/>
      <c r="AI105" s="75"/>
      <c r="AJ105" s="75"/>
      <c r="AK105" s="75"/>
      <c r="AL105" s="75"/>
      <c r="AM105" s="75"/>
      <c r="AN105" s="75"/>
      <c r="AO105" s="75"/>
      <c r="AP105" s="75"/>
      <c r="AQ105" s="75"/>
      <c r="AR105" s="77"/>
      <c r="AT105" s="75"/>
      <c r="AU105" s="78"/>
      <c r="AW105" s="36"/>
    </row>
    <row r="106" s="44" customFormat="1" ht="37" customHeight="1" spans="1:49">
      <c r="A106" s="53"/>
      <c r="B106" s="54"/>
      <c r="C106" s="55"/>
      <c r="D106" s="54"/>
      <c r="E106" s="55"/>
      <c r="F106" s="55"/>
      <c r="G106" s="55"/>
      <c r="H106" s="54"/>
      <c r="I106" s="55"/>
      <c r="J106" s="59"/>
      <c r="K106" s="54"/>
      <c r="L106" s="54"/>
      <c r="M106" s="60"/>
      <c r="N106" s="54"/>
      <c r="O106" s="55"/>
      <c r="P106" s="55"/>
      <c r="Q106" s="55"/>
      <c r="R106" s="55"/>
      <c r="S106" s="55"/>
      <c r="T106" s="55"/>
      <c r="U106" s="55"/>
      <c r="V106" s="54"/>
      <c r="W106" s="54"/>
      <c r="X106" s="54"/>
      <c r="Y106" s="67"/>
      <c r="Z106" s="67"/>
      <c r="AA106" s="67"/>
      <c r="AB106" s="55"/>
      <c r="AC106" s="54"/>
      <c r="AF106" s="68"/>
      <c r="AG106" s="73"/>
      <c r="AH106" s="74"/>
      <c r="AI106" s="75"/>
      <c r="AJ106" s="75"/>
      <c r="AK106" s="75"/>
      <c r="AL106" s="75"/>
      <c r="AM106" s="75"/>
      <c r="AN106" s="75"/>
      <c r="AO106" s="75"/>
      <c r="AP106" s="75"/>
      <c r="AQ106" s="75"/>
      <c r="AR106" s="77"/>
      <c r="AT106" s="75"/>
      <c r="AU106" s="78"/>
      <c r="AW106" s="36"/>
    </row>
    <row r="107" s="44" customFormat="1" ht="37" customHeight="1" spans="1:49">
      <c r="A107" s="53"/>
      <c r="B107" s="54"/>
      <c r="C107" s="55"/>
      <c r="D107" s="54"/>
      <c r="E107" s="55"/>
      <c r="F107" s="55"/>
      <c r="G107" s="55"/>
      <c r="H107" s="54"/>
      <c r="I107" s="55"/>
      <c r="J107" s="59"/>
      <c r="K107" s="54"/>
      <c r="L107" s="54"/>
      <c r="M107" s="60"/>
      <c r="N107" s="54"/>
      <c r="O107" s="55"/>
      <c r="P107" s="55"/>
      <c r="Q107" s="55"/>
      <c r="R107" s="55"/>
      <c r="S107" s="55"/>
      <c r="T107" s="55"/>
      <c r="U107" s="55"/>
      <c r="V107" s="54"/>
      <c r="W107" s="54"/>
      <c r="X107" s="54"/>
      <c r="Y107" s="67"/>
      <c r="Z107" s="67"/>
      <c r="AA107" s="67"/>
      <c r="AB107" s="55"/>
      <c r="AC107" s="54"/>
      <c r="AF107" s="68"/>
      <c r="AG107" s="73"/>
      <c r="AH107" s="74"/>
      <c r="AI107" s="75"/>
      <c r="AJ107" s="75"/>
      <c r="AK107" s="75"/>
      <c r="AL107" s="75"/>
      <c r="AM107" s="75"/>
      <c r="AN107" s="75"/>
      <c r="AO107" s="75"/>
      <c r="AP107" s="75"/>
      <c r="AQ107" s="75"/>
      <c r="AR107" s="77"/>
      <c r="AT107" s="75"/>
      <c r="AU107" s="78"/>
      <c r="AW107" s="36"/>
    </row>
    <row r="108" s="44" customFormat="1" ht="37" customHeight="1" spans="1:49">
      <c r="A108" s="53"/>
      <c r="B108" s="54"/>
      <c r="C108" s="55"/>
      <c r="D108" s="54"/>
      <c r="E108" s="55"/>
      <c r="F108" s="55"/>
      <c r="G108" s="55"/>
      <c r="H108" s="54"/>
      <c r="I108" s="55"/>
      <c r="J108" s="59"/>
      <c r="K108" s="54"/>
      <c r="L108" s="54"/>
      <c r="M108" s="60"/>
      <c r="N108" s="54"/>
      <c r="O108" s="55"/>
      <c r="P108" s="55"/>
      <c r="Q108" s="55"/>
      <c r="R108" s="55"/>
      <c r="S108" s="55"/>
      <c r="T108" s="55"/>
      <c r="U108" s="55"/>
      <c r="V108" s="54"/>
      <c r="W108" s="54"/>
      <c r="X108" s="54"/>
      <c r="Y108" s="67"/>
      <c r="Z108" s="67"/>
      <c r="AA108" s="67"/>
      <c r="AB108" s="55"/>
      <c r="AC108" s="54"/>
      <c r="AF108" s="68"/>
      <c r="AG108" s="73"/>
      <c r="AH108" s="74"/>
      <c r="AI108" s="75"/>
      <c r="AJ108" s="75"/>
      <c r="AK108" s="75"/>
      <c r="AL108" s="75"/>
      <c r="AM108" s="75"/>
      <c r="AN108" s="75"/>
      <c r="AO108" s="75"/>
      <c r="AP108" s="75"/>
      <c r="AQ108" s="75"/>
      <c r="AR108" s="77"/>
      <c r="AT108" s="75"/>
      <c r="AU108" s="78"/>
      <c r="AW108" s="36"/>
    </row>
    <row r="109" s="44" customFormat="1" ht="37" customHeight="1" spans="1:49">
      <c r="A109" s="53"/>
      <c r="B109" s="54"/>
      <c r="C109" s="55"/>
      <c r="D109" s="54"/>
      <c r="E109" s="55"/>
      <c r="F109" s="55"/>
      <c r="G109" s="55"/>
      <c r="H109" s="54"/>
      <c r="I109" s="55"/>
      <c r="J109" s="59"/>
      <c r="K109" s="54"/>
      <c r="L109" s="54"/>
      <c r="M109" s="60"/>
      <c r="N109" s="54"/>
      <c r="O109" s="55"/>
      <c r="P109" s="55"/>
      <c r="Q109" s="55"/>
      <c r="R109" s="55"/>
      <c r="S109" s="55"/>
      <c r="T109" s="55"/>
      <c r="U109" s="55"/>
      <c r="V109" s="54"/>
      <c r="W109" s="54"/>
      <c r="X109" s="54"/>
      <c r="Y109" s="67"/>
      <c r="Z109" s="67"/>
      <c r="AA109" s="67"/>
      <c r="AB109" s="55"/>
      <c r="AC109" s="54"/>
      <c r="AF109" s="68"/>
      <c r="AG109" s="73"/>
      <c r="AH109" s="74"/>
      <c r="AI109" s="75"/>
      <c r="AJ109" s="75"/>
      <c r="AK109" s="75"/>
      <c r="AL109" s="75"/>
      <c r="AM109" s="75"/>
      <c r="AN109" s="75"/>
      <c r="AO109" s="75"/>
      <c r="AP109" s="75"/>
      <c r="AQ109" s="75"/>
      <c r="AR109" s="77"/>
      <c r="AT109" s="75"/>
      <c r="AU109" s="78"/>
      <c r="AW109" s="36"/>
    </row>
    <row r="110" s="44" customFormat="1" ht="37" customHeight="1" spans="1:49">
      <c r="A110" s="53"/>
      <c r="B110" s="54"/>
      <c r="C110" s="55"/>
      <c r="D110" s="54"/>
      <c r="E110" s="55"/>
      <c r="F110" s="55"/>
      <c r="G110" s="55"/>
      <c r="H110" s="54"/>
      <c r="I110" s="55"/>
      <c r="J110" s="59"/>
      <c r="K110" s="54"/>
      <c r="L110" s="54"/>
      <c r="M110" s="60"/>
      <c r="N110" s="54"/>
      <c r="O110" s="55"/>
      <c r="P110" s="55"/>
      <c r="Q110" s="55"/>
      <c r="R110" s="55"/>
      <c r="S110" s="55"/>
      <c r="T110" s="55"/>
      <c r="U110" s="55"/>
      <c r="V110" s="54"/>
      <c r="W110" s="54"/>
      <c r="X110" s="54"/>
      <c r="Y110" s="67"/>
      <c r="Z110" s="67"/>
      <c r="AA110" s="67"/>
      <c r="AB110" s="55"/>
      <c r="AC110" s="54"/>
      <c r="AF110" s="68"/>
      <c r="AG110" s="73"/>
      <c r="AH110" s="74"/>
      <c r="AI110" s="75"/>
      <c r="AJ110" s="75"/>
      <c r="AK110" s="75"/>
      <c r="AL110" s="75"/>
      <c r="AM110" s="75"/>
      <c r="AN110" s="75"/>
      <c r="AO110" s="75"/>
      <c r="AP110" s="75"/>
      <c r="AQ110" s="75"/>
      <c r="AR110" s="77"/>
      <c r="AT110" s="75"/>
      <c r="AU110" s="78"/>
      <c r="AW110" s="36"/>
    </row>
    <row r="111" s="44" customFormat="1" ht="37" customHeight="1" spans="1:49">
      <c r="A111" s="53"/>
      <c r="B111" s="54"/>
      <c r="C111" s="55"/>
      <c r="D111" s="54"/>
      <c r="E111" s="55"/>
      <c r="F111" s="55"/>
      <c r="G111" s="55"/>
      <c r="H111" s="54"/>
      <c r="I111" s="55"/>
      <c r="J111" s="59"/>
      <c r="K111" s="54"/>
      <c r="L111" s="54"/>
      <c r="M111" s="60"/>
      <c r="N111" s="54"/>
      <c r="O111" s="55"/>
      <c r="P111" s="55"/>
      <c r="Q111" s="55"/>
      <c r="R111" s="55"/>
      <c r="S111" s="55"/>
      <c r="T111" s="55"/>
      <c r="U111" s="55"/>
      <c r="V111" s="54"/>
      <c r="W111" s="54"/>
      <c r="X111" s="54"/>
      <c r="Y111" s="67"/>
      <c r="Z111" s="67"/>
      <c r="AA111" s="67"/>
      <c r="AB111" s="55"/>
      <c r="AC111" s="54"/>
      <c r="AF111" s="68"/>
      <c r="AG111" s="73"/>
      <c r="AH111" s="74"/>
      <c r="AI111" s="75"/>
      <c r="AJ111" s="75"/>
      <c r="AK111" s="75"/>
      <c r="AL111" s="75"/>
      <c r="AM111" s="75"/>
      <c r="AN111" s="75"/>
      <c r="AO111" s="75"/>
      <c r="AP111" s="75"/>
      <c r="AQ111" s="75"/>
      <c r="AR111" s="77"/>
      <c r="AT111" s="75"/>
      <c r="AU111" s="78"/>
      <c r="AW111" s="36"/>
    </row>
    <row r="112" s="44" customFormat="1" ht="37" customHeight="1" spans="1:49">
      <c r="A112" s="53"/>
      <c r="B112" s="54"/>
      <c r="C112" s="55"/>
      <c r="D112" s="54"/>
      <c r="E112" s="55"/>
      <c r="F112" s="55"/>
      <c r="G112" s="55"/>
      <c r="H112" s="54"/>
      <c r="I112" s="55"/>
      <c r="J112" s="59"/>
      <c r="K112" s="54"/>
      <c r="L112" s="54"/>
      <c r="M112" s="60"/>
      <c r="N112" s="54"/>
      <c r="O112" s="55"/>
      <c r="P112" s="55"/>
      <c r="Q112" s="55"/>
      <c r="R112" s="55"/>
      <c r="S112" s="55"/>
      <c r="T112" s="55"/>
      <c r="U112" s="55"/>
      <c r="V112" s="54"/>
      <c r="W112" s="54"/>
      <c r="X112" s="54"/>
      <c r="Y112" s="67"/>
      <c r="Z112" s="67"/>
      <c r="AA112" s="67"/>
      <c r="AB112" s="55"/>
      <c r="AC112" s="54"/>
      <c r="AF112" s="68"/>
      <c r="AG112" s="73"/>
      <c r="AH112" s="74"/>
      <c r="AI112" s="75"/>
      <c r="AJ112" s="75"/>
      <c r="AK112" s="75"/>
      <c r="AL112" s="75"/>
      <c r="AM112" s="75"/>
      <c r="AN112" s="75"/>
      <c r="AO112" s="75"/>
      <c r="AP112" s="75"/>
      <c r="AQ112" s="75"/>
      <c r="AR112" s="77"/>
      <c r="AT112" s="75"/>
      <c r="AU112" s="78"/>
      <c r="AW112" s="36"/>
    </row>
    <row r="113" s="44" customFormat="1" ht="37" customHeight="1" spans="1:49">
      <c r="A113" s="53"/>
      <c r="B113" s="54"/>
      <c r="C113" s="55"/>
      <c r="D113" s="54"/>
      <c r="E113" s="55"/>
      <c r="F113" s="55"/>
      <c r="G113" s="55"/>
      <c r="H113" s="54"/>
      <c r="I113" s="55"/>
      <c r="J113" s="59"/>
      <c r="K113" s="54"/>
      <c r="L113" s="54"/>
      <c r="M113" s="60"/>
      <c r="N113" s="54"/>
      <c r="O113" s="55"/>
      <c r="P113" s="55"/>
      <c r="Q113" s="55"/>
      <c r="R113" s="55"/>
      <c r="S113" s="55"/>
      <c r="T113" s="55"/>
      <c r="U113" s="55"/>
      <c r="V113" s="54"/>
      <c r="W113" s="54"/>
      <c r="X113" s="54"/>
      <c r="Y113" s="67"/>
      <c r="Z113" s="67"/>
      <c r="AA113" s="67"/>
      <c r="AB113" s="55"/>
      <c r="AC113" s="54"/>
      <c r="AF113" s="68"/>
      <c r="AG113" s="73"/>
      <c r="AH113" s="74"/>
      <c r="AI113" s="75"/>
      <c r="AJ113" s="75"/>
      <c r="AK113" s="75"/>
      <c r="AL113" s="75"/>
      <c r="AM113" s="75"/>
      <c r="AN113" s="75"/>
      <c r="AO113" s="75"/>
      <c r="AP113" s="75"/>
      <c r="AQ113" s="75"/>
      <c r="AR113" s="77"/>
      <c r="AT113" s="75"/>
      <c r="AU113" s="78"/>
      <c r="AW113" s="36"/>
    </row>
    <row r="114" s="44" customFormat="1" ht="37" customHeight="1" spans="1:49">
      <c r="A114" s="53"/>
      <c r="B114" s="54"/>
      <c r="C114" s="55"/>
      <c r="D114" s="54"/>
      <c r="E114" s="55"/>
      <c r="F114" s="55"/>
      <c r="G114" s="55"/>
      <c r="H114" s="54"/>
      <c r="I114" s="55"/>
      <c r="J114" s="59"/>
      <c r="K114" s="54"/>
      <c r="L114" s="54"/>
      <c r="M114" s="60"/>
      <c r="N114" s="54"/>
      <c r="O114" s="55"/>
      <c r="P114" s="55"/>
      <c r="Q114" s="55"/>
      <c r="R114" s="55"/>
      <c r="S114" s="55"/>
      <c r="T114" s="55"/>
      <c r="U114" s="55"/>
      <c r="V114" s="54"/>
      <c r="W114" s="54"/>
      <c r="X114" s="54"/>
      <c r="Y114" s="67"/>
      <c r="Z114" s="67"/>
      <c r="AA114" s="67"/>
      <c r="AB114" s="55"/>
      <c r="AC114" s="54"/>
      <c r="AF114" s="68"/>
      <c r="AG114" s="73"/>
      <c r="AH114" s="74"/>
      <c r="AI114" s="75"/>
      <c r="AJ114" s="75"/>
      <c r="AK114" s="75"/>
      <c r="AL114" s="75"/>
      <c r="AM114" s="75"/>
      <c r="AN114" s="75"/>
      <c r="AO114" s="75"/>
      <c r="AP114" s="75"/>
      <c r="AQ114" s="75"/>
      <c r="AR114" s="77"/>
      <c r="AT114" s="75"/>
      <c r="AU114" s="78"/>
      <c r="AW114" s="36"/>
    </row>
    <row r="115" s="44" customFormat="1" ht="37" customHeight="1" spans="1:49">
      <c r="A115" s="53"/>
      <c r="B115" s="54"/>
      <c r="C115" s="55"/>
      <c r="D115" s="54"/>
      <c r="E115" s="55"/>
      <c r="F115" s="55"/>
      <c r="G115" s="55"/>
      <c r="H115" s="54"/>
      <c r="I115" s="55"/>
      <c r="J115" s="59"/>
      <c r="K115" s="54"/>
      <c r="L115" s="54"/>
      <c r="M115" s="60"/>
      <c r="N115" s="54"/>
      <c r="O115" s="55"/>
      <c r="P115" s="55"/>
      <c r="Q115" s="55"/>
      <c r="R115" s="55"/>
      <c r="S115" s="55"/>
      <c r="T115" s="55"/>
      <c r="U115" s="55"/>
      <c r="V115" s="54"/>
      <c r="W115" s="54"/>
      <c r="X115" s="54"/>
      <c r="Y115" s="67"/>
      <c r="Z115" s="67"/>
      <c r="AA115" s="67"/>
      <c r="AB115" s="55"/>
      <c r="AC115" s="54"/>
      <c r="AF115" s="68"/>
      <c r="AG115" s="73"/>
      <c r="AH115" s="74"/>
      <c r="AI115" s="75"/>
      <c r="AJ115" s="75"/>
      <c r="AK115" s="75"/>
      <c r="AL115" s="75"/>
      <c r="AM115" s="75"/>
      <c r="AN115" s="75"/>
      <c r="AO115" s="75"/>
      <c r="AP115" s="75"/>
      <c r="AQ115" s="75"/>
      <c r="AR115" s="77"/>
      <c r="AT115" s="75"/>
      <c r="AU115" s="78"/>
      <c r="AW115" s="36"/>
    </row>
    <row r="116" s="44" customFormat="1" ht="37" customHeight="1" spans="1:49">
      <c r="A116" s="53"/>
      <c r="B116" s="54"/>
      <c r="C116" s="55"/>
      <c r="D116" s="54"/>
      <c r="E116" s="55"/>
      <c r="F116" s="55"/>
      <c r="G116" s="55"/>
      <c r="H116" s="54"/>
      <c r="I116" s="55"/>
      <c r="J116" s="59"/>
      <c r="K116" s="54"/>
      <c r="L116" s="54"/>
      <c r="M116" s="60"/>
      <c r="N116" s="54"/>
      <c r="O116" s="55"/>
      <c r="P116" s="55"/>
      <c r="Q116" s="55"/>
      <c r="R116" s="55"/>
      <c r="S116" s="55"/>
      <c r="T116" s="55"/>
      <c r="U116" s="55"/>
      <c r="V116" s="54"/>
      <c r="W116" s="54"/>
      <c r="X116" s="54"/>
      <c r="Y116" s="67"/>
      <c r="Z116" s="67"/>
      <c r="AA116" s="67"/>
      <c r="AB116" s="55"/>
      <c r="AC116" s="54"/>
      <c r="AF116" s="68"/>
      <c r="AG116" s="73"/>
      <c r="AH116" s="74"/>
      <c r="AI116" s="75"/>
      <c r="AJ116" s="75"/>
      <c r="AK116" s="75"/>
      <c r="AL116" s="75"/>
      <c r="AM116" s="75"/>
      <c r="AN116" s="75"/>
      <c r="AO116" s="75"/>
      <c r="AP116" s="75"/>
      <c r="AQ116" s="75"/>
      <c r="AR116" s="77"/>
      <c r="AT116" s="75"/>
      <c r="AU116" s="78"/>
      <c r="AW116" s="36"/>
    </row>
    <row r="117" s="44" customFormat="1" ht="37" customHeight="1" spans="1:49">
      <c r="A117" s="53"/>
      <c r="B117" s="54"/>
      <c r="C117" s="55"/>
      <c r="D117" s="54"/>
      <c r="E117" s="55"/>
      <c r="F117" s="55"/>
      <c r="G117" s="55"/>
      <c r="H117" s="54"/>
      <c r="I117" s="55"/>
      <c r="J117" s="59"/>
      <c r="K117" s="54"/>
      <c r="L117" s="54"/>
      <c r="M117" s="60"/>
      <c r="N117" s="54"/>
      <c r="O117" s="55"/>
      <c r="P117" s="55"/>
      <c r="Q117" s="55"/>
      <c r="R117" s="55"/>
      <c r="S117" s="55"/>
      <c r="T117" s="55"/>
      <c r="U117" s="55"/>
      <c r="V117" s="54"/>
      <c r="W117" s="54"/>
      <c r="X117" s="54"/>
      <c r="Y117" s="67"/>
      <c r="Z117" s="67"/>
      <c r="AA117" s="67"/>
      <c r="AB117" s="55"/>
      <c r="AC117" s="54"/>
      <c r="AF117" s="68"/>
      <c r="AG117" s="73"/>
      <c r="AH117" s="74"/>
      <c r="AI117" s="75"/>
      <c r="AJ117" s="75"/>
      <c r="AK117" s="75"/>
      <c r="AL117" s="75"/>
      <c r="AM117" s="75"/>
      <c r="AN117" s="75"/>
      <c r="AO117" s="75"/>
      <c r="AP117" s="75"/>
      <c r="AQ117" s="75"/>
      <c r="AR117" s="77"/>
      <c r="AT117" s="75"/>
      <c r="AU117" s="78"/>
      <c r="AW117" s="36"/>
    </row>
    <row r="118" s="44" customFormat="1" ht="37" customHeight="1" spans="1:49">
      <c r="A118" s="53"/>
      <c r="B118" s="54"/>
      <c r="C118" s="55"/>
      <c r="D118" s="54"/>
      <c r="E118" s="55"/>
      <c r="F118" s="55"/>
      <c r="G118" s="55"/>
      <c r="H118" s="54"/>
      <c r="I118" s="55"/>
      <c r="J118" s="59"/>
      <c r="K118" s="54"/>
      <c r="L118" s="54"/>
      <c r="M118" s="60"/>
      <c r="N118" s="54"/>
      <c r="O118" s="55"/>
      <c r="P118" s="55"/>
      <c r="Q118" s="55"/>
      <c r="R118" s="55"/>
      <c r="S118" s="55"/>
      <c r="T118" s="55"/>
      <c r="U118" s="55"/>
      <c r="V118" s="54"/>
      <c r="W118" s="54"/>
      <c r="X118" s="54"/>
      <c r="Y118" s="67"/>
      <c r="Z118" s="67"/>
      <c r="AA118" s="67"/>
      <c r="AB118" s="55"/>
      <c r="AC118" s="54"/>
      <c r="AF118" s="68"/>
      <c r="AG118" s="73"/>
      <c r="AH118" s="74"/>
      <c r="AI118" s="75"/>
      <c r="AJ118" s="75"/>
      <c r="AK118" s="75"/>
      <c r="AL118" s="75"/>
      <c r="AM118" s="75"/>
      <c r="AN118" s="75"/>
      <c r="AO118" s="75"/>
      <c r="AP118" s="75"/>
      <c r="AQ118" s="75"/>
      <c r="AR118" s="77"/>
      <c r="AT118" s="75"/>
      <c r="AU118" s="78"/>
      <c r="AW118" s="36"/>
    </row>
    <row r="119" s="44" customFormat="1" ht="37" customHeight="1" spans="1:49">
      <c r="A119" s="53"/>
      <c r="B119" s="54"/>
      <c r="C119" s="55"/>
      <c r="D119" s="54"/>
      <c r="E119" s="55"/>
      <c r="F119" s="55"/>
      <c r="G119" s="55"/>
      <c r="H119" s="54"/>
      <c r="I119" s="55"/>
      <c r="J119" s="59"/>
      <c r="K119" s="54"/>
      <c r="L119" s="54"/>
      <c r="M119" s="60"/>
      <c r="N119" s="54"/>
      <c r="O119" s="55"/>
      <c r="P119" s="55"/>
      <c r="Q119" s="55"/>
      <c r="R119" s="55"/>
      <c r="S119" s="55"/>
      <c r="T119" s="55"/>
      <c r="U119" s="55"/>
      <c r="V119" s="54"/>
      <c r="W119" s="54"/>
      <c r="X119" s="54"/>
      <c r="Y119" s="67"/>
      <c r="Z119" s="67"/>
      <c r="AA119" s="67"/>
      <c r="AB119" s="55"/>
      <c r="AC119" s="54"/>
      <c r="AF119" s="68"/>
      <c r="AG119" s="73"/>
      <c r="AH119" s="74"/>
      <c r="AI119" s="75"/>
      <c r="AJ119" s="75"/>
      <c r="AK119" s="75"/>
      <c r="AL119" s="75"/>
      <c r="AM119" s="75"/>
      <c r="AN119" s="75"/>
      <c r="AO119" s="75"/>
      <c r="AP119" s="75"/>
      <c r="AQ119" s="75"/>
      <c r="AR119" s="77"/>
      <c r="AT119" s="75"/>
      <c r="AU119" s="78"/>
      <c r="AW119" s="36"/>
    </row>
    <row r="120" s="44" customFormat="1" ht="37" customHeight="1" spans="1:49">
      <c r="A120" s="53"/>
      <c r="B120" s="54"/>
      <c r="C120" s="55"/>
      <c r="D120" s="54"/>
      <c r="E120" s="55"/>
      <c r="F120" s="55"/>
      <c r="G120" s="55"/>
      <c r="H120" s="54"/>
      <c r="I120" s="55"/>
      <c r="J120" s="59"/>
      <c r="K120" s="54"/>
      <c r="L120" s="54"/>
      <c r="M120" s="60"/>
      <c r="N120" s="54"/>
      <c r="O120" s="55"/>
      <c r="P120" s="55"/>
      <c r="Q120" s="55"/>
      <c r="R120" s="55"/>
      <c r="S120" s="55"/>
      <c r="T120" s="55"/>
      <c r="U120" s="55"/>
      <c r="V120" s="54"/>
      <c r="W120" s="54"/>
      <c r="X120" s="54"/>
      <c r="Y120" s="67"/>
      <c r="Z120" s="67"/>
      <c r="AA120" s="67"/>
      <c r="AB120" s="55"/>
      <c r="AC120" s="54"/>
      <c r="AF120" s="68"/>
      <c r="AG120" s="73"/>
      <c r="AH120" s="74"/>
      <c r="AI120" s="75"/>
      <c r="AJ120" s="75"/>
      <c r="AK120" s="75"/>
      <c r="AL120" s="75"/>
      <c r="AM120" s="75"/>
      <c r="AN120" s="75"/>
      <c r="AO120" s="75"/>
      <c r="AP120" s="75"/>
      <c r="AQ120" s="75"/>
      <c r="AR120" s="77"/>
      <c r="AT120" s="75"/>
      <c r="AU120" s="78"/>
      <c r="AW120" s="36"/>
    </row>
    <row r="121" s="44" customFormat="1" ht="37" customHeight="1" spans="1:49">
      <c r="A121" s="53"/>
      <c r="B121" s="54"/>
      <c r="C121" s="55"/>
      <c r="D121" s="54"/>
      <c r="E121" s="55"/>
      <c r="F121" s="55"/>
      <c r="G121" s="55"/>
      <c r="H121" s="54"/>
      <c r="I121" s="55"/>
      <c r="J121" s="59"/>
      <c r="K121" s="54"/>
      <c r="L121" s="54"/>
      <c r="M121" s="60"/>
      <c r="N121" s="54"/>
      <c r="O121" s="55"/>
      <c r="P121" s="55"/>
      <c r="Q121" s="55"/>
      <c r="R121" s="55"/>
      <c r="S121" s="55"/>
      <c r="T121" s="55"/>
      <c r="U121" s="55"/>
      <c r="V121" s="54"/>
      <c r="W121" s="54"/>
      <c r="X121" s="54"/>
      <c r="Y121" s="67"/>
      <c r="Z121" s="67"/>
      <c r="AA121" s="67"/>
      <c r="AB121" s="55"/>
      <c r="AC121" s="54"/>
      <c r="AF121" s="68"/>
      <c r="AG121" s="73"/>
      <c r="AH121" s="74"/>
      <c r="AI121" s="75"/>
      <c r="AJ121" s="75"/>
      <c r="AK121" s="75"/>
      <c r="AL121" s="75"/>
      <c r="AM121" s="75"/>
      <c r="AN121" s="75"/>
      <c r="AO121" s="75"/>
      <c r="AP121" s="75"/>
      <c r="AQ121" s="75"/>
      <c r="AR121" s="77"/>
      <c r="AT121" s="75"/>
      <c r="AU121" s="78"/>
      <c r="AW121" s="36"/>
    </row>
    <row r="122" s="44" customFormat="1" ht="37" customHeight="1" spans="1:49">
      <c r="A122" s="53"/>
      <c r="B122" s="54"/>
      <c r="C122" s="55"/>
      <c r="D122" s="54"/>
      <c r="E122" s="55"/>
      <c r="F122" s="55"/>
      <c r="G122" s="55"/>
      <c r="H122" s="54"/>
      <c r="I122" s="55"/>
      <c r="J122" s="59"/>
      <c r="K122" s="54"/>
      <c r="L122" s="54"/>
      <c r="M122" s="60"/>
      <c r="N122" s="54"/>
      <c r="O122" s="55"/>
      <c r="P122" s="55"/>
      <c r="Q122" s="55"/>
      <c r="R122" s="55"/>
      <c r="S122" s="55"/>
      <c r="T122" s="55"/>
      <c r="U122" s="55"/>
      <c r="V122" s="54"/>
      <c r="W122" s="54"/>
      <c r="X122" s="54"/>
      <c r="Y122" s="67"/>
      <c r="Z122" s="67"/>
      <c r="AA122" s="67"/>
      <c r="AB122" s="55"/>
      <c r="AC122" s="54"/>
      <c r="AF122" s="68"/>
      <c r="AG122" s="73"/>
      <c r="AH122" s="74"/>
      <c r="AI122" s="75"/>
      <c r="AJ122" s="75"/>
      <c r="AK122" s="75"/>
      <c r="AL122" s="75"/>
      <c r="AM122" s="75"/>
      <c r="AN122" s="75"/>
      <c r="AO122" s="75"/>
      <c r="AP122" s="75"/>
      <c r="AQ122" s="75"/>
      <c r="AR122" s="77"/>
      <c r="AT122" s="75"/>
      <c r="AU122" s="78"/>
      <c r="AW122" s="36"/>
    </row>
    <row r="123" s="44" customFormat="1" ht="37" customHeight="1" spans="1:49">
      <c r="A123" s="53"/>
      <c r="B123" s="54"/>
      <c r="C123" s="55"/>
      <c r="D123" s="54"/>
      <c r="E123" s="55"/>
      <c r="F123" s="55"/>
      <c r="G123" s="55"/>
      <c r="H123" s="54"/>
      <c r="I123" s="55"/>
      <c r="J123" s="59"/>
      <c r="K123" s="54"/>
      <c r="L123" s="54"/>
      <c r="M123" s="60"/>
      <c r="N123" s="54"/>
      <c r="O123" s="55"/>
      <c r="P123" s="55"/>
      <c r="Q123" s="55"/>
      <c r="R123" s="55"/>
      <c r="S123" s="55"/>
      <c r="T123" s="55"/>
      <c r="U123" s="55"/>
      <c r="V123" s="54"/>
      <c r="W123" s="54"/>
      <c r="X123" s="54"/>
      <c r="Y123" s="67"/>
      <c r="Z123" s="67"/>
      <c r="AA123" s="67"/>
      <c r="AB123" s="55"/>
      <c r="AC123" s="54"/>
      <c r="AF123" s="68"/>
      <c r="AG123" s="73"/>
      <c r="AH123" s="74"/>
      <c r="AI123" s="75"/>
      <c r="AJ123" s="75"/>
      <c r="AK123" s="75"/>
      <c r="AL123" s="75"/>
      <c r="AM123" s="75"/>
      <c r="AN123" s="75"/>
      <c r="AO123" s="75"/>
      <c r="AP123" s="75"/>
      <c r="AQ123" s="75"/>
      <c r="AR123" s="77"/>
      <c r="AT123" s="75"/>
      <c r="AU123" s="78"/>
      <c r="AW123" s="36"/>
    </row>
    <row r="124" s="44" customFormat="1" ht="37" customHeight="1" spans="1:49">
      <c r="A124" s="53"/>
      <c r="B124" s="54"/>
      <c r="C124" s="55"/>
      <c r="D124" s="54"/>
      <c r="E124" s="55"/>
      <c r="F124" s="55"/>
      <c r="G124" s="55"/>
      <c r="H124" s="54"/>
      <c r="I124" s="55"/>
      <c r="J124" s="59"/>
      <c r="K124" s="54"/>
      <c r="L124" s="54"/>
      <c r="M124" s="60"/>
      <c r="N124" s="54"/>
      <c r="O124" s="55"/>
      <c r="P124" s="55"/>
      <c r="Q124" s="55"/>
      <c r="R124" s="55"/>
      <c r="S124" s="55"/>
      <c r="T124" s="55"/>
      <c r="U124" s="55"/>
      <c r="V124" s="54"/>
      <c r="W124" s="54"/>
      <c r="X124" s="54"/>
      <c r="Y124" s="67"/>
      <c r="Z124" s="67"/>
      <c r="AA124" s="67"/>
      <c r="AB124" s="55"/>
      <c r="AC124" s="54"/>
      <c r="AF124" s="68"/>
      <c r="AG124" s="73"/>
      <c r="AH124" s="74"/>
      <c r="AI124" s="75"/>
      <c r="AJ124" s="75"/>
      <c r="AK124" s="75"/>
      <c r="AL124" s="75"/>
      <c r="AM124" s="75"/>
      <c r="AN124" s="75"/>
      <c r="AO124" s="75"/>
      <c r="AP124" s="75"/>
      <c r="AQ124" s="75"/>
      <c r="AR124" s="77"/>
      <c r="AT124" s="75"/>
      <c r="AU124" s="78"/>
      <c r="AW124" s="36"/>
    </row>
    <row r="125" s="44" customFormat="1" ht="37" customHeight="1" spans="1:49">
      <c r="A125" s="53"/>
      <c r="B125" s="54"/>
      <c r="C125" s="55"/>
      <c r="D125" s="54"/>
      <c r="E125" s="55"/>
      <c r="F125" s="55"/>
      <c r="G125" s="55"/>
      <c r="H125" s="54"/>
      <c r="I125" s="55"/>
      <c r="J125" s="59"/>
      <c r="K125" s="54"/>
      <c r="L125" s="54"/>
      <c r="M125" s="60"/>
      <c r="N125" s="54"/>
      <c r="O125" s="55"/>
      <c r="P125" s="55"/>
      <c r="Q125" s="55"/>
      <c r="R125" s="55"/>
      <c r="S125" s="55"/>
      <c r="T125" s="55"/>
      <c r="U125" s="55"/>
      <c r="V125" s="54"/>
      <c r="W125" s="54"/>
      <c r="X125" s="54"/>
      <c r="Y125" s="67"/>
      <c r="Z125" s="67"/>
      <c r="AA125" s="67"/>
      <c r="AB125" s="55"/>
      <c r="AC125" s="54"/>
      <c r="AF125" s="68"/>
      <c r="AG125" s="73"/>
      <c r="AH125" s="74"/>
      <c r="AI125" s="75"/>
      <c r="AJ125" s="75"/>
      <c r="AK125" s="75"/>
      <c r="AL125" s="75"/>
      <c r="AM125" s="75"/>
      <c r="AN125" s="75"/>
      <c r="AO125" s="75"/>
      <c r="AP125" s="75"/>
      <c r="AQ125" s="75"/>
      <c r="AR125" s="77"/>
      <c r="AT125" s="75"/>
      <c r="AU125" s="78"/>
      <c r="AW125" s="36"/>
    </row>
    <row r="126" s="44" customFormat="1" ht="37" customHeight="1" spans="1:49">
      <c r="A126" s="53"/>
      <c r="B126" s="54"/>
      <c r="C126" s="55"/>
      <c r="D126" s="54"/>
      <c r="E126" s="55"/>
      <c r="F126" s="55"/>
      <c r="G126" s="55"/>
      <c r="H126" s="54"/>
      <c r="I126" s="55"/>
      <c r="J126" s="59"/>
      <c r="K126" s="54"/>
      <c r="L126" s="54"/>
      <c r="M126" s="60"/>
      <c r="N126" s="54"/>
      <c r="O126" s="55"/>
      <c r="P126" s="55"/>
      <c r="Q126" s="55"/>
      <c r="R126" s="55"/>
      <c r="S126" s="55"/>
      <c r="T126" s="55"/>
      <c r="U126" s="55"/>
      <c r="V126" s="54"/>
      <c r="W126" s="54"/>
      <c r="X126" s="54"/>
      <c r="Y126" s="67"/>
      <c r="Z126" s="67"/>
      <c r="AA126" s="67"/>
      <c r="AB126" s="55"/>
      <c r="AC126" s="54"/>
      <c r="AF126" s="68"/>
      <c r="AG126" s="73"/>
      <c r="AH126" s="74"/>
      <c r="AI126" s="75"/>
      <c r="AJ126" s="75"/>
      <c r="AK126" s="75"/>
      <c r="AL126" s="75"/>
      <c r="AM126" s="75"/>
      <c r="AN126" s="75"/>
      <c r="AO126" s="75"/>
      <c r="AP126" s="75"/>
      <c r="AQ126" s="75"/>
      <c r="AR126" s="77"/>
      <c r="AT126" s="75"/>
      <c r="AU126" s="78"/>
      <c r="AW126" s="36"/>
    </row>
    <row r="127" s="44" customFormat="1" ht="37" customHeight="1" spans="1:49">
      <c r="A127" s="53"/>
      <c r="B127" s="54"/>
      <c r="C127" s="55"/>
      <c r="D127" s="54"/>
      <c r="E127" s="55"/>
      <c r="F127" s="55"/>
      <c r="G127" s="55"/>
      <c r="H127" s="54"/>
      <c r="I127" s="55"/>
      <c r="J127" s="59"/>
      <c r="K127" s="54"/>
      <c r="L127" s="54"/>
      <c r="M127" s="60"/>
      <c r="N127" s="54"/>
      <c r="O127" s="55"/>
      <c r="P127" s="55"/>
      <c r="Q127" s="55"/>
      <c r="R127" s="55"/>
      <c r="S127" s="55"/>
      <c r="T127" s="55"/>
      <c r="U127" s="55"/>
      <c r="V127" s="54"/>
      <c r="W127" s="54"/>
      <c r="X127" s="54"/>
      <c r="Y127" s="67"/>
      <c r="Z127" s="67"/>
      <c r="AA127" s="67"/>
      <c r="AB127" s="55"/>
      <c r="AC127" s="54"/>
      <c r="AF127" s="68"/>
      <c r="AG127" s="73"/>
      <c r="AH127" s="74"/>
      <c r="AI127" s="75"/>
      <c r="AJ127" s="75"/>
      <c r="AK127" s="75"/>
      <c r="AL127" s="75"/>
      <c r="AM127" s="75"/>
      <c r="AN127" s="75"/>
      <c r="AO127" s="75"/>
      <c r="AP127" s="75"/>
      <c r="AQ127" s="75"/>
      <c r="AR127" s="77"/>
      <c r="AT127" s="75"/>
      <c r="AU127" s="78"/>
      <c r="AW127" s="36"/>
    </row>
    <row r="128" s="44" customFormat="1" ht="37" customHeight="1" spans="1:49">
      <c r="A128" s="53"/>
      <c r="B128" s="54"/>
      <c r="C128" s="55"/>
      <c r="D128" s="54"/>
      <c r="E128" s="55"/>
      <c r="F128" s="55"/>
      <c r="G128" s="55"/>
      <c r="H128" s="54"/>
      <c r="I128" s="55"/>
      <c r="J128" s="59"/>
      <c r="K128" s="54"/>
      <c r="L128" s="54"/>
      <c r="M128" s="60"/>
      <c r="N128" s="54"/>
      <c r="O128" s="55"/>
      <c r="P128" s="55"/>
      <c r="Q128" s="55"/>
      <c r="R128" s="55"/>
      <c r="S128" s="55"/>
      <c r="T128" s="55"/>
      <c r="U128" s="55"/>
      <c r="V128" s="54"/>
      <c r="W128" s="54"/>
      <c r="X128" s="54"/>
      <c r="Y128" s="67"/>
      <c r="Z128" s="67"/>
      <c r="AA128" s="67"/>
      <c r="AB128" s="55"/>
      <c r="AC128" s="54"/>
      <c r="AF128" s="68"/>
      <c r="AG128" s="73"/>
      <c r="AH128" s="74"/>
      <c r="AI128" s="75"/>
      <c r="AJ128" s="75"/>
      <c r="AK128" s="75"/>
      <c r="AL128" s="75"/>
      <c r="AM128" s="75"/>
      <c r="AN128" s="75"/>
      <c r="AO128" s="75"/>
      <c r="AP128" s="75"/>
      <c r="AQ128" s="75"/>
      <c r="AR128" s="77"/>
      <c r="AT128" s="75"/>
      <c r="AU128" s="78"/>
      <c r="AW128" s="36"/>
    </row>
    <row r="129" s="44" customFormat="1" ht="37" customHeight="1" spans="1:49">
      <c r="A129" s="53"/>
      <c r="B129" s="54"/>
      <c r="C129" s="55"/>
      <c r="D129" s="54"/>
      <c r="E129" s="55"/>
      <c r="F129" s="55"/>
      <c r="G129" s="55"/>
      <c r="H129" s="54"/>
      <c r="I129" s="55"/>
      <c r="J129" s="59"/>
      <c r="K129" s="54"/>
      <c r="L129" s="54"/>
      <c r="M129" s="60"/>
      <c r="N129" s="54"/>
      <c r="O129" s="55"/>
      <c r="P129" s="55"/>
      <c r="Q129" s="55"/>
      <c r="R129" s="55"/>
      <c r="S129" s="55"/>
      <c r="T129" s="55"/>
      <c r="U129" s="55"/>
      <c r="V129" s="54"/>
      <c r="W129" s="54"/>
      <c r="X129" s="54"/>
      <c r="Y129" s="67"/>
      <c r="Z129" s="67"/>
      <c r="AA129" s="67"/>
      <c r="AB129" s="55"/>
      <c r="AC129" s="54"/>
      <c r="AF129" s="68"/>
      <c r="AG129" s="73"/>
      <c r="AH129" s="74"/>
      <c r="AI129" s="75"/>
      <c r="AJ129" s="75"/>
      <c r="AK129" s="75"/>
      <c r="AL129" s="75"/>
      <c r="AM129" s="75"/>
      <c r="AN129" s="75"/>
      <c r="AO129" s="75"/>
      <c r="AP129" s="75"/>
      <c r="AQ129" s="75"/>
      <c r="AR129" s="77"/>
      <c r="AT129" s="75"/>
      <c r="AU129" s="78"/>
      <c r="AW129" s="36"/>
    </row>
    <row r="130" s="44" customFormat="1" ht="37" customHeight="1" spans="1:49">
      <c r="A130" s="53"/>
      <c r="B130" s="54"/>
      <c r="C130" s="55"/>
      <c r="D130" s="54"/>
      <c r="E130" s="55"/>
      <c r="F130" s="55"/>
      <c r="G130" s="55"/>
      <c r="H130" s="54"/>
      <c r="I130" s="55"/>
      <c r="J130" s="59"/>
      <c r="K130" s="54"/>
      <c r="L130" s="54"/>
      <c r="M130" s="60"/>
      <c r="N130" s="54"/>
      <c r="O130" s="55"/>
      <c r="P130" s="55"/>
      <c r="Q130" s="55"/>
      <c r="R130" s="55"/>
      <c r="S130" s="55"/>
      <c r="T130" s="55"/>
      <c r="U130" s="55"/>
      <c r="V130" s="54"/>
      <c r="W130" s="54"/>
      <c r="X130" s="54"/>
      <c r="Y130" s="67"/>
      <c r="Z130" s="67"/>
      <c r="AA130" s="67"/>
      <c r="AB130" s="55"/>
      <c r="AC130" s="54"/>
      <c r="AF130" s="68"/>
      <c r="AG130" s="73"/>
      <c r="AH130" s="74"/>
      <c r="AI130" s="75"/>
      <c r="AJ130" s="75"/>
      <c r="AK130" s="75"/>
      <c r="AL130" s="75"/>
      <c r="AM130" s="75"/>
      <c r="AN130" s="75"/>
      <c r="AO130" s="75"/>
      <c r="AP130" s="75"/>
      <c r="AQ130" s="75"/>
      <c r="AR130" s="77"/>
      <c r="AT130" s="75"/>
      <c r="AU130" s="78"/>
      <c r="AW130" s="36"/>
    </row>
    <row r="131" s="44" customFormat="1" ht="37" customHeight="1" spans="1:49">
      <c r="A131" s="53"/>
      <c r="B131" s="54"/>
      <c r="C131" s="55"/>
      <c r="D131" s="54"/>
      <c r="E131" s="55"/>
      <c r="F131" s="55"/>
      <c r="G131" s="55"/>
      <c r="H131" s="54"/>
      <c r="I131" s="55"/>
      <c r="J131" s="59"/>
      <c r="K131" s="54"/>
      <c r="L131" s="54"/>
      <c r="M131" s="60"/>
      <c r="N131" s="54"/>
      <c r="O131" s="55"/>
      <c r="P131" s="55"/>
      <c r="Q131" s="55"/>
      <c r="R131" s="55"/>
      <c r="S131" s="55"/>
      <c r="T131" s="55"/>
      <c r="U131" s="55"/>
      <c r="V131" s="54"/>
      <c r="W131" s="54"/>
      <c r="X131" s="54"/>
      <c r="Y131" s="67"/>
      <c r="Z131" s="67"/>
      <c r="AA131" s="67"/>
      <c r="AB131" s="55"/>
      <c r="AC131" s="54"/>
      <c r="AF131" s="68"/>
      <c r="AG131" s="73"/>
      <c r="AH131" s="74"/>
      <c r="AI131" s="75"/>
      <c r="AJ131" s="75"/>
      <c r="AK131" s="75"/>
      <c r="AL131" s="75"/>
      <c r="AM131" s="75"/>
      <c r="AN131" s="75"/>
      <c r="AO131" s="75"/>
      <c r="AP131" s="75"/>
      <c r="AQ131" s="75"/>
      <c r="AR131" s="77"/>
      <c r="AT131" s="75"/>
      <c r="AU131" s="78"/>
      <c r="AW131" s="36"/>
    </row>
    <row r="132" s="44" customFormat="1" ht="37" customHeight="1" spans="1:49">
      <c r="A132" s="53"/>
      <c r="B132" s="54"/>
      <c r="C132" s="55"/>
      <c r="D132" s="54"/>
      <c r="E132" s="55"/>
      <c r="F132" s="55"/>
      <c r="G132" s="55"/>
      <c r="H132" s="54"/>
      <c r="I132" s="55"/>
      <c r="J132" s="59"/>
      <c r="K132" s="54"/>
      <c r="L132" s="54"/>
      <c r="M132" s="60"/>
      <c r="N132" s="54"/>
      <c r="O132" s="55"/>
      <c r="P132" s="55"/>
      <c r="Q132" s="55"/>
      <c r="R132" s="55"/>
      <c r="S132" s="55"/>
      <c r="T132" s="55"/>
      <c r="U132" s="55"/>
      <c r="V132" s="54"/>
      <c r="W132" s="54"/>
      <c r="X132" s="54"/>
      <c r="Y132" s="67"/>
      <c r="Z132" s="67"/>
      <c r="AA132" s="67"/>
      <c r="AB132" s="55"/>
      <c r="AC132" s="54"/>
      <c r="AF132" s="68"/>
      <c r="AG132" s="73"/>
      <c r="AH132" s="74"/>
      <c r="AI132" s="75"/>
      <c r="AJ132" s="75"/>
      <c r="AK132" s="75"/>
      <c r="AL132" s="75"/>
      <c r="AM132" s="75"/>
      <c r="AN132" s="75"/>
      <c r="AO132" s="75"/>
      <c r="AP132" s="75"/>
      <c r="AQ132" s="75"/>
      <c r="AR132" s="77"/>
      <c r="AT132" s="75"/>
      <c r="AU132" s="78"/>
      <c r="AW132" s="36"/>
    </row>
    <row r="133" s="44" customFormat="1" ht="37" customHeight="1" spans="1:49">
      <c r="A133" s="53"/>
      <c r="B133" s="54"/>
      <c r="C133" s="55"/>
      <c r="D133" s="54"/>
      <c r="E133" s="55"/>
      <c r="F133" s="55"/>
      <c r="G133" s="55"/>
      <c r="H133" s="54"/>
      <c r="I133" s="55"/>
      <c r="J133" s="59"/>
      <c r="K133" s="54"/>
      <c r="L133" s="54"/>
      <c r="M133" s="60"/>
      <c r="N133" s="54"/>
      <c r="O133" s="55"/>
      <c r="P133" s="55"/>
      <c r="Q133" s="55"/>
      <c r="R133" s="55"/>
      <c r="S133" s="55"/>
      <c r="T133" s="55"/>
      <c r="U133" s="55"/>
      <c r="V133" s="54"/>
      <c r="W133" s="54"/>
      <c r="X133" s="54"/>
      <c r="Y133" s="67"/>
      <c r="Z133" s="67"/>
      <c r="AA133" s="67"/>
      <c r="AB133" s="55"/>
      <c r="AC133" s="54"/>
      <c r="AF133" s="68"/>
      <c r="AG133" s="73"/>
      <c r="AH133" s="74"/>
      <c r="AI133" s="75"/>
      <c r="AJ133" s="75"/>
      <c r="AK133" s="75"/>
      <c r="AL133" s="75"/>
      <c r="AM133" s="75"/>
      <c r="AN133" s="75"/>
      <c r="AO133" s="75"/>
      <c r="AP133" s="75"/>
      <c r="AQ133" s="75"/>
      <c r="AR133" s="77"/>
      <c r="AT133" s="75"/>
      <c r="AU133" s="78"/>
      <c r="AW133" s="36"/>
    </row>
    <row r="134" s="44" customFormat="1" ht="37" customHeight="1" spans="1:49">
      <c r="A134" s="53"/>
      <c r="B134" s="54"/>
      <c r="C134" s="55"/>
      <c r="D134" s="54"/>
      <c r="E134" s="55"/>
      <c r="F134" s="55"/>
      <c r="G134" s="55"/>
      <c r="H134" s="54"/>
      <c r="I134" s="55"/>
      <c r="J134" s="59"/>
      <c r="K134" s="54"/>
      <c r="L134" s="54"/>
      <c r="M134" s="60"/>
      <c r="N134" s="54"/>
      <c r="O134" s="55"/>
      <c r="P134" s="55"/>
      <c r="Q134" s="55"/>
      <c r="R134" s="55"/>
      <c r="S134" s="55"/>
      <c r="T134" s="55"/>
      <c r="U134" s="55"/>
      <c r="V134" s="54"/>
      <c r="W134" s="54"/>
      <c r="X134" s="54"/>
      <c r="Y134" s="67"/>
      <c r="Z134" s="67"/>
      <c r="AA134" s="67"/>
      <c r="AB134" s="55"/>
      <c r="AC134" s="54"/>
      <c r="AF134" s="68"/>
      <c r="AG134" s="73"/>
      <c r="AH134" s="74"/>
      <c r="AI134" s="75"/>
      <c r="AJ134" s="75"/>
      <c r="AK134" s="75"/>
      <c r="AL134" s="75"/>
      <c r="AM134" s="75"/>
      <c r="AN134" s="75"/>
      <c r="AO134" s="75"/>
      <c r="AP134" s="75"/>
      <c r="AQ134" s="75"/>
      <c r="AR134" s="77"/>
      <c r="AT134" s="75"/>
      <c r="AU134" s="78"/>
      <c r="AW134" s="36"/>
    </row>
    <row r="135" s="44" customFormat="1" ht="37" customHeight="1" spans="1:49">
      <c r="A135" s="53"/>
      <c r="B135" s="54"/>
      <c r="C135" s="55"/>
      <c r="D135" s="54"/>
      <c r="E135" s="55"/>
      <c r="F135" s="55"/>
      <c r="G135" s="55"/>
      <c r="H135" s="54"/>
      <c r="I135" s="55"/>
      <c r="J135" s="59"/>
      <c r="K135" s="54"/>
      <c r="L135" s="54"/>
      <c r="M135" s="60"/>
      <c r="N135" s="54"/>
      <c r="O135" s="55"/>
      <c r="P135" s="55"/>
      <c r="Q135" s="55"/>
      <c r="R135" s="55"/>
      <c r="S135" s="55"/>
      <c r="T135" s="55"/>
      <c r="U135" s="55"/>
      <c r="V135" s="54"/>
      <c r="W135" s="54"/>
      <c r="X135" s="54"/>
      <c r="Y135" s="67"/>
      <c r="Z135" s="67"/>
      <c r="AA135" s="67"/>
      <c r="AB135" s="55"/>
      <c r="AC135" s="54"/>
      <c r="AF135" s="68"/>
      <c r="AG135" s="73"/>
      <c r="AH135" s="74"/>
      <c r="AI135" s="75"/>
      <c r="AJ135" s="75"/>
      <c r="AK135" s="75"/>
      <c r="AL135" s="75"/>
      <c r="AM135" s="75"/>
      <c r="AN135" s="75"/>
      <c r="AO135" s="75"/>
      <c r="AP135" s="75"/>
      <c r="AQ135" s="75"/>
      <c r="AR135" s="77"/>
      <c r="AT135" s="75"/>
      <c r="AU135" s="78"/>
      <c r="AW135" s="36"/>
    </row>
    <row r="136" s="44" customFormat="1" ht="37" customHeight="1" spans="1:49">
      <c r="A136" s="53"/>
      <c r="B136" s="54"/>
      <c r="C136" s="55"/>
      <c r="D136" s="54"/>
      <c r="E136" s="55"/>
      <c r="F136" s="55"/>
      <c r="G136" s="55"/>
      <c r="H136" s="54"/>
      <c r="I136" s="55"/>
      <c r="J136" s="59"/>
      <c r="K136" s="54"/>
      <c r="L136" s="54"/>
      <c r="M136" s="60"/>
      <c r="N136" s="54"/>
      <c r="O136" s="55"/>
      <c r="P136" s="55"/>
      <c r="Q136" s="55"/>
      <c r="R136" s="55"/>
      <c r="S136" s="55"/>
      <c r="T136" s="55"/>
      <c r="U136" s="55"/>
      <c r="V136" s="54"/>
      <c r="W136" s="54"/>
      <c r="X136" s="54"/>
      <c r="Y136" s="67"/>
      <c r="Z136" s="67"/>
      <c r="AA136" s="67"/>
      <c r="AB136" s="55"/>
      <c r="AC136" s="54"/>
      <c r="AF136" s="68"/>
      <c r="AG136" s="73"/>
      <c r="AH136" s="74"/>
      <c r="AI136" s="75"/>
      <c r="AJ136" s="75"/>
      <c r="AK136" s="75"/>
      <c r="AL136" s="75"/>
      <c r="AM136" s="75"/>
      <c r="AN136" s="75"/>
      <c r="AO136" s="75"/>
      <c r="AP136" s="75"/>
      <c r="AQ136" s="75"/>
      <c r="AR136" s="77"/>
      <c r="AT136" s="75"/>
      <c r="AU136" s="78"/>
      <c r="AW136" s="36"/>
    </row>
    <row r="137" s="44" customFormat="1" ht="37" customHeight="1" spans="1:49">
      <c r="A137" s="53"/>
      <c r="B137" s="54"/>
      <c r="C137" s="55"/>
      <c r="D137" s="54"/>
      <c r="E137" s="55"/>
      <c r="F137" s="55"/>
      <c r="G137" s="55"/>
      <c r="H137" s="54"/>
      <c r="I137" s="55"/>
      <c r="J137" s="59"/>
      <c r="K137" s="54"/>
      <c r="L137" s="54"/>
      <c r="M137" s="60"/>
      <c r="N137" s="54"/>
      <c r="O137" s="55"/>
      <c r="P137" s="55"/>
      <c r="Q137" s="55"/>
      <c r="R137" s="55"/>
      <c r="S137" s="55"/>
      <c r="T137" s="55"/>
      <c r="U137" s="55"/>
      <c r="V137" s="54"/>
      <c r="W137" s="54"/>
      <c r="X137" s="54"/>
      <c r="Y137" s="67"/>
      <c r="Z137" s="67"/>
      <c r="AA137" s="67"/>
      <c r="AB137" s="55"/>
      <c r="AC137" s="54"/>
      <c r="AF137" s="68"/>
      <c r="AG137" s="73"/>
      <c r="AH137" s="74"/>
      <c r="AI137" s="75"/>
      <c r="AJ137" s="75"/>
      <c r="AK137" s="75"/>
      <c r="AL137" s="75"/>
      <c r="AM137" s="75"/>
      <c r="AN137" s="75"/>
      <c r="AO137" s="75"/>
      <c r="AP137" s="75"/>
      <c r="AQ137" s="75"/>
      <c r="AR137" s="77"/>
      <c r="AT137" s="75"/>
      <c r="AU137" s="78"/>
      <c r="AW137" s="36"/>
    </row>
    <row r="138" s="44" customFormat="1" ht="37" customHeight="1" spans="1:49">
      <c r="A138" s="53"/>
      <c r="B138" s="54"/>
      <c r="C138" s="55"/>
      <c r="D138" s="54"/>
      <c r="E138" s="55"/>
      <c r="F138" s="55"/>
      <c r="G138" s="55"/>
      <c r="H138" s="54"/>
      <c r="I138" s="55"/>
      <c r="J138" s="59"/>
      <c r="K138" s="54"/>
      <c r="L138" s="54"/>
      <c r="M138" s="60"/>
      <c r="N138" s="54"/>
      <c r="O138" s="55"/>
      <c r="P138" s="55"/>
      <c r="Q138" s="55"/>
      <c r="R138" s="55"/>
      <c r="S138" s="55"/>
      <c r="T138" s="55"/>
      <c r="U138" s="55"/>
      <c r="V138" s="54"/>
      <c r="W138" s="54"/>
      <c r="X138" s="54"/>
      <c r="Y138" s="67"/>
      <c r="Z138" s="67"/>
      <c r="AA138" s="67"/>
      <c r="AB138" s="55"/>
      <c r="AC138" s="54"/>
      <c r="AF138" s="68"/>
      <c r="AG138" s="73"/>
      <c r="AH138" s="74"/>
      <c r="AI138" s="75"/>
      <c r="AJ138" s="75"/>
      <c r="AK138" s="75"/>
      <c r="AL138" s="75"/>
      <c r="AM138" s="75"/>
      <c r="AN138" s="75"/>
      <c r="AO138" s="75"/>
      <c r="AP138" s="75"/>
      <c r="AQ138" s="75"/>
      <c r="AR138" s="77"/>
      <c r="AT138" s="75"/>
      <c r="AU138" s="78"/>
      <c r="AW138" s="36"/>
    </row>
    <row r="139" s="44" customFormat="1" ht="37" customHeight="1" spans="1:49">
      <c r="A139" s="53"/>
      <c r="B139" s="54"/>
      <c r="C139" s="55"/>
      <c r="D139" s="54"/>
      <c r="E139" s="55"/>
      <c r="F139" s="55"/>
      <c r="G139" s="55"/>
      <c r="H139" s="54"/>
      <c r="I139" s="55"/>
      <c r="J139" s="59"/>
      <c r="K139" s="54"/>
      <c r="L139" s="54"/>
      <c r="M139" s="60"/>
      <c r="N139" s="54"/>
      <c r="O139" s="55"/>
      <c r="P139" s="55"/>
      <c r="Q139" s="55"/>
      <c r="R139" s="55"/>
      <c r="S139" s="55"/>
      <c r="T139" s="55"/>
      <c r="U139" s="55"/>
      <c r="V139" s="54"/>
      <c r="W139" s="54"/>
      <c r="X139" s="54"/>
      <c r="Y139" s="67"/>
      <c r="Z139" s="67"/>
      <c r="AA139" s="67"/>
      <c r="AB139" s="55"/>
      <c r="AC139" s="54"/>
      <c r="AF139" s="68"/>
      <c r="AG139" s="73"/>
      <c r="AH139" s="74"/>
      <c r="AI139" s="75"/>
      <c r="AJ139" s="75"/>
      <c r="AK139" s="75"/>
      <c r="AL139" s="75"/>
      <c r="AM139" s="75"/>
      <c r="AN139" s="75"/>
      <c r="AO139" s="75"/>
      <c r="AP139" s="75"/>
      <c r="AQ139" s="75"/>
      <c r="AR139" s="77"/>
      <c r="AT139" s="75"/>
      <c r="AU139" s="78"/>
      <c r="AW139" s="36"/>
    </row>
    <row r="140" s="44" customFormat="1" ht="37" customHeight="1" spans="1:49">
      <c r="A140" s="53"/>
      <c r="B140" s="54"/>
      <c r="C140" s="55"/>
      <c r="D140" s="54"/>
      <c r="E140" s="55"/>
      <c r="F140" s="55"/>
      <c r="G140" s="55"/>
      <c r="H140" s="54"/>
      <c r="I140" s="55"/>
      <c r="J140" s="59"/>
      <c r="K140" s="54"/>
      <c r="L140" s="54"/>
      <c r="M140" s="60"/>
      <c r="N140" s="54"/>
      <c r="O140" s="55"/>
      <c r="P140" s="55"/>
      <c r="Q140" s="55"/>
      <c r="R140" s="55"/>
      <c r="S140" s="55"/>
      <c r="T140" s="55"/>
      <c r="U140" s="55"/>
      <c r="V140" s="54"/>
      <c r="W140" s="54"/>
      <c r="X140" s="54"/>
      <c r="Y140" s="67"/>
      <c r="Z140" s="67"/>
      <c r="AA140" s="67"/>
      <c r="AB140" s="55"/>
      <c r="AC140" s="54"/>
      <c r="AF140" s="68"/>
      <c r="AG140" s="73"/>
      <c r="AH140" s="74"/>
      <c r="AI140" s="75"/>
      <c r="AJ140" s="75"/>
      <c r="AK140" s="75"/>
      <c r="AL140" s="75"/>
      <c r="AM140" s="75"/>
      <c r="AN140" s="75"/>
      <c r="AO140" s="75"/>
      <c r="AP140" s="75"/>
      <c r="AQ140" s="75"/>
      <c r="AR140" s="77"/>
      <c r="AT140" s="75"/>
      <c r="AU140" s="78"/>
      <c r="AW140" s="36"/>
    </row>
    <row r="141" s="44" customFormat="1" ht="37" customHeight="1" spans="1:49">
      <c r="A141" s="53"/>
      <c r="B141" s="54"/>
      <c r="C141" s="55"/>
      <c r="D141" s="54"/>
      <c r="E141" s="55"/>
      <c r="F141" s="55"/>
      <c r="G141" s="55"/>
      <c r="H141" s="54"/>
      <c r="I141" s="55"/>
      <c r="J141" s="59"/>
      <c r="K141" s="54"/>
      <c r="L141" s="54"/>
      <c r="M141" s="60"/>
      <c r="N141" s="54"/>
      <c r="O141" s="55"/>
      <c r="P141" s="55"/>
      <c r="Q141" s="55"/>
      <c r="R141" s="55"/>
      <c r="S141" s="55"/>
      <c r="T141" s="55"/>
      <c r="U141" s="55"/>
      <c r="V141" s="54"/>
      <c r="W141" s="54"/>
      <c r="X141" s="54"/>
      <c r="Y141" s="67"/>
      <c r="Z141" s="67"/>
      <c r="AA141" s="67"/>
      <c r="AB141" s="55"/>
      <c r="AC141" s="54"/>
      <c r="AF141" s="68"/>
      <c r="AG141" s="73"/>
      <c r="AH141" s="74"/>
      <c r="AI141" s="75"/>
      <c r="AJ141" s="75"/>
      <c r="AK141" s="75"/>
      <c r="AL141" s="75"/>
      <c r="AM141" s="75"/>
      <c r="AN141" s="75"/>
      <c r="AO141" s="75"/>
      <c r="AP141" s="75"/>
      <c r="AQ141" s="75"/>
      <c r="AR141" s="77"/>
      <c r="AT141" s="75"/>
      <c r="AU141" s="78"/>
      <c r="AW141" s="36"/>
    </row>
    <row r="142" s="44" customFormat="1" ht="37" customHeight="1" spans="1:49">
      <c r="A142" s="53"/>
      <c r="B142" s="54"/>
      <c r="C142" s="55"/>
      <c r="D142" s="54"/>
      <c r="E142" s="55"/>
      <c r="F142" s="55"/>
      <c r="G142" s="55"/>
      <c r="H142" s="54"/>
      <c r="I142" s="55"/>
      <c r="J142" s="59"/>
      <c r="K142" s="54"/>
      <c r="L142" s="54"/>
      <c r="M142" s="60"/>
      <c r="N142" s="54"/>
      <c r="O142" s="55"/>
      <c r="P142" s="55"/>
      <c r="Q142" s="55"/>
      <c r="R142" s="55"/>
      <c r="S142" s="55"/>
      <c r="T142" s="55"/>
      <c r="U142" s="55"/>
      <c r="V142" s="54"/>
      <c r="W142" s="54"/>
      <c r="X142" s="54"/>
      <c r="Y142" s="67"/>
      <c r="Z142" s="67"/>
      <c r="AA142" s="67"/>
      <c r="AB142" s="55"/>
      <c r="AC142" s="54"/>
      <c r="AF142" s="68"/>
      <c r="AG142" s="73"/>
      <c r="AH142" s="74"/>
      <c r="AI142" s="75"/>
      <c r="AJ142" s="75"/>
      <c r="AK142" s="75"/>
      <c r="AL142" s="75"/>
      <c r="AM142" s="75"/>
      <c r="AN142" s="75"/>
      <c r="AO142" s="75"/>
      <c r="AP142" s="75"/>
      <c r="AQ142" s="75"/>
      <c r="AR142" s="77"/>
      <c r="AT142" s="75"/>
      <c r="AU142" s="78"/>
      <c r="AW142" s="36"/>
    </row>
    <row r="143" s="44" customFormat="1" ht="37" customHeight="1" spans="1:49">
      <c r="A143" s="53"/>
      <c r="B143" s="54"/>
      <c r="C143" s="55"/>
      <c r="D143" s="54"/>
      <c r="E143" s="55"/>
      <c r="F143" s="55"/>
      <c r="G143" s="55"/>
      <c r="H143" s="54"/>
      <c r="I143" s="55"/>
      <c r="J143" s="59"/>
      <c r="K143" s="54"/>
      <c r="L143" s="54"/>
      <c r="M143" s="60"/>
      <c r="N143" s="54"/>
      <c r="O143" s="55"/>
      <c r="P143" s="55"/>
      <c r="Q143" s="55"/>
      <c r="R143" s="55"/>
      <c r="S143" s="55"/>
      <c r="T143" s="55"/>
      <c r="U143" s="55"/>
      <c r="V143" s="54"/>
      <c r="W143" s="54"/>
      <c r="X143" s="54"/>
      <c r="Y143" s="67"/>
      <c r="Z143" s="67"/>
      <c r="AA143" s="67"/>
      <c r="AB143" s="55"/>
      <c r="AC143" s="54"/>
      <c r="AF143" s="68"/>
      <c r="AG143" s="73"/>
      <c r="AH143" s="74"/>
      <c r="AI143" s="75"/>
      <c r="AJ143" s="75"/>
      <c r="AK143" s="75"/>
      <c r="AL143" s="75"/>
      <c r="AM143" s="75"/>
      <c r="AN143" s="75"/>
      <c r="AO143" s="75"/>
      <c r="AP143" s="75"/>
      <c r="AQ143" s="75"/>
      <c r="AR143" s="77"/>
      <c r="AT143" s="75"/>
      <c r="AU143" s="78"/>
      <c r="AW143" s="36"/>
    </row>
    <row r="144" s="44" customFormat="1" ht="37" customHeight="1" spans="1:49">
      <c r="A144" s="53"/>
      <c r="B144" s="54"/>
      <c r="C144" s="55"/>
      <c r="D144" s="54"/>
      <c r="E144" s="55"/>
      <c r="F144" s="55"/>
      <c r="G144" s="55"/>
      <c r="H144" s="54"/>
      <c r="I144" s="55"/>
      <c r="J144" s="59"/>
      <c r="K144" s="54"/>
      <c r="L144" s="54"/>
      <c r="M144" s="60"/>
      <c r="N144" s="54"/>
      <c r="O144" s="55"/>
      <c r="P144" s="55"/>
      <c r="Q144" s="55"/>
      <c r="R144" s="55"/>
      <c r="S144" s="55"/>
      <c r="T144" s="55"/>
      <c r="U144" s="55"/>
      <c r="V144" s="54"/>
      <c r="W144" s="54"/>
      <c r="X144" s="54"/>
      <c r="Y144" s="67"/>
      <c r="Z144" s="67"/>
      <c r="AA144" s="67"/>
      <c r="AB144" s="55"/>
      <c r="AC144" s="54"/>
      <c r="AF144" s="68"/>
      <c r="AG144" s="73"/>
      <c r="AH144" s="74"/>
      <c r="AI144" s="75"/>
      <c r="AJ144" s="75"/>
      <c r="AK144" s="75"/>
      <c r="AL144" s="75"/>
      <c r="AM144" s="75"/>
      <c r="AN144" s="75"/>
      <c r="AO144" s="75"/>
      <c r="AP144" s="75"/>
      <c r="AQ144" s="75"/>
      <c r="AR144" s="77"/>
      <c r="AT144" s="75"/>
      <c r="AU144" s="78"/>
      <c r="AW144" s="36"/>
    </row>
    <row r="145" s="44" customFormat="1" ht="37" customHeight="1" spans="1:49">
      <c r="A145" s="53"/>
      <c r="B145" s="54"/>
      <c r="C145" s="55"/>
      <c r="D145" s="54"/>
      <c r="E145" s="55"/>
      <c r="F145" s="55"/>
      <c r="G145" s="55"/>
      <c r="H145" s="54"/>
      <c r="I145" s="55"/>
      <c r="J145" s="59"/>
      <c r="K145" s="54"/>
      <c r="L145" s="54"/>
      <c r="M145" s="60"/>
      <c r="N145" s="54"/>
      <c r="O145" s="55"/>
      <c r="P145" s="55"/>
      <c r="Q145" s="55"/>
      <c r="R145" s="55"/>
      <c r="S145" s="55"/>
      <c r="T145" s="55"/>
      <c r="U145" s="55"/>
      <c r="V145" s="54"/>
      <c r="W145" s="54"/>
      <c r="X145" s="54"/>
      <c r="Y145" s="67"/>
      <c r="Z145" s="67"/>
      <c r="AA145" s="67"/>
      <c r="AB145" s="55"/>
      <c r="AC145" s="54"/>
      <c r="AF145" s="68"/>
      <c r="AG145" s="73"/>
      <c r="AH145" s="74"/>
      <c r="AI145" s="75"/>
      <c r="AJ145" s="75"/>
      <c r="AK145" s="75"/>
      <c r="AL145" s="75"/>
      <c r="AM145" s="75"/>
      <c r="AN145" s="75"/>
      <c r="AO145" s="75"/>
      <c r="AP145" s="75"/>
      <c r="AQ145" s="75"/>
      <c r="AR145" s="77"/>
      <c r="AT145" s="75"/>
      <c r="AU145" s="78"/>
      <c r="AW145" s="36"/>
    </row>
    <row r="146" s="44" customFormat="1" ht="37" customHeight="1" spans="1:49">
      <c r="A146" s="53"/>
      <c r="B146" s="54"/>
      <c r="C146" s="55"/>
      <c r="D146" s="54"/>
      <c r="E146" s="55"/>
      <c r="F146" s="55"/>
      <c r="G146" s="55"/>
      <c r="H146" s="54"/>
      <c r="I146" s="55"/>
      <c r="J146" s="59"/>
      <c r="K146" s="54"/>
      <c r="L146" s="54"/>
      <c r="M146" s="60"/>
      <c r="N146" s="54"/>
      <c r="O146" s="55"/>
      <c r="P146" s="55"/>
      <c r="Q146" s="55"/>
      <c r="R146" s="55"/>
      <c r="S146" s="55"/>
      <c r="T146" s="55"/>
      <c r="U146" s="55"/>
      <c r="V146" s="54"/>
      <c r="W146" s="54"/>
      <c r="X146" s="54"/>
      <c r="Y146" s="67"/>
      <c r="Z146" s="67"/>
      <c r="AA146" s="67"/>
      <c r="AB146" s="55"/>
      <c r="AC146" s="54"/>
      <c r="AF146" s="68"/>
      <c r="AG146" s="73"/>
      <c r="AH146" s="74"/>
      <c r="AI146" s="75"/>
      <c r="AJ146" s="75"/>
      <c r="AK146" s="75"/>
      <c r="AL146" s="75"/>
      <c r="AM146" s="75"/>
      <c r="AN146" s="75"/>
      <c r="AO146" s="75"/>
      <c r="AP146" s="75"/>
      <c r="AQ146" s="75"/>
      <c r="AR146" s="77"/>
      <c r="AT146" s="75"/>
      <c r="AU146" s="78"/>
      <c r="AW146" s="36"/>
    </row>
    <row r="147" s="44" customFormat="1" ht="37" customHeight="1" spans="1:49">
      <c r="A147" s="53"/>
      <c r="B147" s="54"/>
      <c r="C147" s="55"/>
      <c r="D147" s="54"/>
      <c r="E147" s="55"/>
      <c r="F147" s="55"/>
      <c r="G147" s="55"/>
      <c r="H147" s="54"/>
      <c r="I147" s="55"/>
      <c r="J147" s="59"/>
      <c r="K147" s="54"/>
      <c r="L147" s="54"/>
      <c r="M147" s="60"/>
      <c r="N147" s="54"/>
      <c r="O147" s="55"/>
      <c r="P147" s="55"/>
      <c r="Q147" s="55"/>
      <c r="R147" s="55"/>
      <c r="S147" s="55"/>
      <c r="T147" s="55"/>
      <c r="U147" s="55"/>
      <c r="V147" s="54"/>
      <c r="W147" s="54"/>
      <c r="X147" s="54"/>
      <c r="Y147" s="67"/>
      <c r="Z147" s="67"/>
      <c r="AA147" s="67"/>
      <c r="AB147" s="55"/>
      <c r="AC147" s="54"/>
      <c r="AF147" s="68"/>
      <c r="AG147" s="73"/>
      <c r="AH147" s="74"/>
      <c r="AI147" s="75"/>
      <c r="AJ147" s="75"/>
      <c r="AK147" s="75"/>
      <c r="AL147" s="75"/>
      <c r="AM147" s="75"/>
      <c r="AN147" s="75"/>
      <c r="AO147" s="75"/>
      <c r="AP147" s="75"/>
      <c r="AQ147" s="75"/>
      <c r="AR147" s="77"/>
      <c r="AT147" s="75"/>
      <c r="AU147" s="78"/>
      <c r="AW147" s="36"/>
    </row>
    <row r="148" s="44" customFormat="1" ht="37" customHeight="1" spans="1:49">
      <c r="A148" s="53"/>
      <c r="B148" s="54"/>
      <c r="C148" s="55"/>
      <c r="D148" s="54"/>
      <c r="E148" s="55"/>
      <c r="F148" s="55"/>
      <c r="G148" s="55"/>
      <c r="H148" s="54"/>
      <c r="I148" s="55"/>
      <c r="J148" s="59"/>
      <c r="K148" s="54"/>
      <c r="L148" s="54"/>
      <c r="M148" s="60"/>
      <c r="N148" s="54"/>
      <c r="O148" s="55"/>
      <c r="P148" s="55"/>
      <c r="Q148" s="55"/>
      <c r="R148" s="55"/>
      <c r="S148" s="55"/>
      <c r="T148" s="55"/>
      <c r="U148" s="55"/>
      <c r="V148" s="54"/>
      <c r="W148" s="54"/>
      <c r="X148" s="54"/>
      <c r="Y148" s="67"/>
      <c r="Z148" s="67"/>
      <c r="AA148" s="67"/>
      <c r="AB148" s="55"/>
      <c r="AC148" s="54"/>
      <c r="AF148" s="68"/>
      <c r="AG148" s="73"/>
      <c r="AH148" s="74"/>
      <c r="AI148" s="75"/>
      <c r="AJ148" s="75"/>
      <c r="AK148" s="75"/>
      <c r="AL148" s="75"/>
      <c r="AM148" s="75"/>
      <c r="AN148" s="75"/>
      <c r="AO148" s="75"/>
      <c r="AP148" s="75"/>
      <c r="AQ148" s="75"/>
      <c r="AR148" s="77"/>
      <c r="AT148" s="75"/>
      <c r="AU148" s="78"/>
      <c r="AW148" s="36"/>
    </row>
    <row r="149" s="44" customFormat="1" ht="37" customHeight="1" spans="1:49">
      <c r="A149" s="53"/>
      <c r="B149" s="54"/>
      <c r="C149" s="55"/>
      <c r="D149" s="54"/>
      <c r="E149" s="55"/>
      <c r="F149" s="55"/>
      <c r="G149" s="55"/>
      <c r="H149" s="54"/>
      <c r="I149" s="55"/>
      <c r="J149" s="59"/>
      <c r="K149" s="54"/>
      <c r="L149" s="54"/>
      <c r="M149" s="60"/>
      <c r="N149" s="54"/>
      <c r="O149" s="55"/>
      <c r="P149" s="55"/>
      <c r="Q149" s="55"/>
      <c r="R149" s="55"/>
      <c r="S149" s="55"/>
      <c r="T149" s="55"/>
      <c r="U149" s="55"/>
      <c r="V149" s="54"/>
      <c r="W149" s="54"/>
      <c r="X149" s="54"/>
      <c r="Y149" s="67"/>
      <c r="Z149" s="67"/>
      <c r="AA149" s="67"/>
      <c r="AB149" s="55"/>
      <c r="AC149" s="54"/>
      <c r="AF149" s="68"/>
      <c r="AG149" s="73"/>
      <c r="AH149" s="74"/>
      <c r="AI149" s="75"/>
      <c r="AJ149" s="75"/>
      <c r="AK149" s="75"/>
      <c r="AL149" s="75"/>
      <c r="AM149" s="75"/>
      <c r="AN149" s="75"/>
      <c r="AO149" s="75"/>
      <c r="AP149" s="75"/>
      <c r="AQ149" s="75"/>
      <c r="AR149" s="77"/>
      <c r="AT149" s="75"/>
      <c r="AU149" s="78"/>
      <c r="AW149" s="36"/>
    </row>
    <row r="150" s="44" customFormat="1" ht="37" customHeight="1" spans="1:49">
      <c r="A150" s="53"/>
      <c r="B150" s="54"/>
      <c r="C150" s="55"/>
      <c r="D150" s="54"/>
      <c r="E150" s="55"/>
      <c r="F150" s="55"/>
      <c r="G150" s="55"/>
      <c r="H150" s="54"/>
      <c r="I150" s="55"/>
      <c r="J150" s="59"/>
      <c r="K150" s="54"/>
      <c r="L150" s="54"/>
      <c r="M150" s="60"/>
      <c r="N150" s="54"/>
      <c r="O150" s="55"/>
      <c r="P150" s="55"/>
      <c r="Q150" s="55"/>
      <c r="R150" s="55"/>
      <c r="S150" s="55"/>
      <c r="T150" s="55"/>
      <c r="U150" s="55"/>
      <c r="V150" s="54"/>
      <c r="W150" s="54"/>
      <c r="X150" s="54"/>
      <c r="Y150" s="67"/>
      <c r="Z150" s="67"/>
      <c r="AA150" s="67"/>
      <c r="AB150" s="55"/>
      <c r="AC150" s="54"/>
      <c r="AF150" s="68"/>
      <c r="AG150" s="73"/>
      <c r="AH150" s="74"/>
      <c r="AI150" s="75"/>
      <c r="AJ150" s="75"/>
      <c r="AK150" s="75"/>
      <c r="AL150" s="75"/>
      <c r="AM150" s="75"/>
      <c r="AN150" s="75"/>
      <c r="AO150" s="75"/>
      <c r="AP150" s="75"/>
      <c r="AQ150" s="75"/>
      <c r="AR150" s="77"/>
      <c r="AT150" s="75"/>
      <c r="AU150" s="78"/>
      <c r="AW150" s="36"/>
    </row>
    <row r="151" s="44" customFormat="1" ht="37" customHeight="1" spans="1:49">
      <c r="A151" s="53"/>
      <c r="B151" s="54"/>
      <c r="C151" s="55"/>
      <c r="D151" s="54"/>
      <c r="E151" s="55"/>
      <c r="F151" s="55"/>
      <c r="G151" s="55"/>
      <c r="H151" s="54"/>
      <c r="I151" s="55"/>
      <c r="J151" s="59"/>
      <c r="K151" s="54"/>
      <c r="L151" s="54"/>
      <c r="M151" s="60"/>
      <c r="N151" s="54"/>
      <c r="O151" s="55"/>
      <c r="P151" s="55"/>
      <c r="Q151" s="55"/>
      <c r="R151" s="55"/>
      <c r="S151" s="55"/>
      <c r="T151" s="55"/>
      <c r="U151" s="55"/>
      <c r="V151" s="54"/>
      <c r="W151" s="54"/>
      <c r="X151" s="54"/>
      <c r="Y151" s="67"/>
      <c r="Z151" s="67"/>
      <c r="AA151" s="67"/>
      <c r="AB151" s="55"/>
      <c r="AC151" s="54"/>
      <c r="AF151" s="68"/>
      <c r="AG151" s="73"/>
      <c r="AH151" s="74"/>
      <c r="AI151" s="75"/>
      <c r="AJ151" s="75"/>
      <c r="AK151" s="75"/>
      <c r="AL151" s="75"/>
      <c r="AM151" s="75"/>
      <c r="AN151" s="75"/>
      <c r="AO151" s="75"/>
      <c r="AP151" s="75"/>
      <c r="AQ151" s="75"/>
      <c r="AR151" s="77"/>
      <c r="AT151" s="75"/>
      <c r="AU151" s="78"/>
      <c r="AW151" s="36"/>
    </row>
    <row r="152" s="44" customFormat="1" ht="37" customHeight="1" spans="1:49">
      <c r="A152" s="53"/>
      <c r="B152" s="54"/>
      <c r="C152" s="55"/>
      <c r="D152" s="54"/>
      <c r="E152" s="55"/>
      <c r="F152" s="55"/>
      <c r="G152" s="55"/>
      <c r="H152" s="54"/>
      <c r="I152" s="55"/>
      <c r="J152" s="59"/>
      <c r="K152" s="54"/>
      <c r="L152" s="54"/>
      <c r="M152" s="60"/>
      <c r="N152" s="54"/>
      <c r="O152" s="55"/>
      <c r="P152" s="55"/>
      <c r="Q152" s="55"/>
      <c r="R152" s="55"/>
      <c r="S152" s="55"/>
      <c r="T152" s="55"/>
      <c r="U152" s="55"/>
      <c r="V152" s="54"/>
      <c r="W152" s="54"/>
      <c r="X152" s="54"/>
      <c r="Y152" s="67"/>
      <c r="Z152" s="67"/>
      <c r="AA152" s="67"/>
      <c r="AB152" s="55"/>
      <c r="AC152" s="54"/>
      <c r="AF152" s="68"/>
      <c r="AG152" s="73"/>
      <c r="AH152" s="74"/>
      <c r="AI152" s="75"/>
      <c r="AJ152" s="75"/>
      <c r="AK152" s="75"/>
      <c r="AL152" s="75"/>
      <c r="AM152" s="75"/>
      <c r="AN152" s="75"/>
      <c r="AO152" s="75"/>
      <c r="AP152" s="75"/>
      <c r="AQ152" s="75"/>
      <c r="AR152" s="77"/>
      <c r="AT152" s="75"/>
      <c r="AU152" s="78"/>
      <c r="AW152" s="36"/>
    </row>
    <row r="153" s="44" customFormat="1" ht="37" customHeight="1" spans="1:49">
      <c r="A153" s="53"/>
      <c r="B153" s="54"/>
      <c r="C153" s="55"/>
      <c r="D153" s="54"/>
      <c r="E153" s="55"/>
      <c r="F153" s="55"/>
      <c r="G153" s="55"/>
      <c r="H153" s="54"/>
      <c r="I153" s="55"/>
      <c r="J153" s="59"/>
      <c r="K153" s="54"/>
      <c r="L153" s="54"/>
      <c r="M153" s="60"/>
      <c r="N153" s="54"/>
      <c r="O153" s="55"/>
      <c r="P153" s="55"/>
      <c r="Q153" s="55"/>
      <c r="R153" s="55"/>
      <c r="S153" s="55"/>
      <c r="T153" s="55"/>
      <c r="U153" s="55"/>
      <c r="V153" s="54"/>
      <c r="W153" s="54"/>
      <c r="X153" s="54"/>
      <c r="Y153" s="67"/>
      <c r="Z153" s="67"/>
      <c r="AA153" s="67"/>
      <c r="AB153" s="55"/>
      <c r="AC153" s="54"/>
      <c r="AF153" s="68"/>
      <c r="AG153" s="73"/>
      <c r="AH153" s="74"/>
      <c r="AI153" s="75"/>
      <c r="AJ153" s="75"/>
      <c r="AK153" s="75"/>
      <c r="AL153" s="75"/>
      <c r="AM153" s="75"/>
      <c r="AN153" s="75"/>
      <c r="AO153" s="75"/>
      <c r="AP153" s="75"/>
      <c r="AQ153" s="75"/>
      <c r="AR153" s="77"/>
      <c r="AT153" s="75"/>
      <c r="AU153" s="78"/>
      <c r="AW153" s="36"/>
    </row>
    <row r="154" s="44" customFormat="1" ht="37" customHeight="1" spans="1:49">
      <c r="A154" s="53"/>
      <c r="B154" s="54"/>
      <c r="C154" s="55"/>
      <c r="D154" s="54"/>
      <c r="E154" s="55"/>
      <c r="F154" s="55"/>
      <c r="G154" s="55"/>
      <c r="H154" s="54"/>
      <c r="I154" s="55"/>
      <c r="J154" s="59"/>
      <c r="K154" s="54"/>
      <c r="L154" s="54"/>
      <c r="M154" s="60"/>
      <c r="N154" s="54"/>
      <c r="O154" s="55"/>
      <c r="P154" s="55"/>
      <c r="Q154" s="55"/>
      <c r="R154" s="55"/>
      <c r="S154" s="55"/>
      <c r="T154" s="55"/>
      <c r="U154" s="55"/>
      <c r="V154" s="54"/>
      <c r="W154" s="54"/>
      <c r="X154" s="54"/>
      <c r="Y154" s="67"/>
      <c r="Z154" s="67"/>
      <c r="AA154" s="67"/>
      <c r="AB154" s="55"/>
      <c r="AC154" s="54"/>
      <c r="AF154" s="68"/>
      <c r="AG154" s="73"/>
      <c r="AH154" s="74"/>
      <c r="AI154" s="75"/>
      <c r="AJ154" s="75"/>
      <c r="AK154" s="75"/>
      <c r="AL154" s="75"/>
      <c r="AM154" s="75"/>
      <c r="AN154" s="75"/>
      <c r="AO154" s="75"/>
      <c r="AP154" s="75"/>
      <c r="AQ154" s="75"/>
      <c r="AR154" s="77"/>
      <c r="AT154" s="75"/>
      <c r="AU154" s="78"/>
      <c r="AW154" s="36"/>
    </row>
    <row r="155" s="44" customFormat="1" ht="37" customHeight="1" spans="1:49">
      <c r="A155" s="53"/>
      <c r="B155" s="54"/>
      <c r="C155" s="55"/>
      <c r="D155" s="54"/>
      <c r="E155" s="55"/>
      <c r="F155" s="55"/>
      <c r="G155" s="55"/>
      <c r="H155" s="54"/>
      <c r="I155" s="55"/>
      <c r="J155" s="59"/>
      <c r="K155" s="54"/>
      <c r="L155" s="54"/>
      <c r="M155" s="60"/>
      <c r="N155" s="54"/>
      <c r="O155" s="55"/>
      <c r="P155" s="55"/>
      <c r="Q155" s="55"/>
      <c r="R155" s="55"/>
      <c r="S155" s="55"/>
      <c r="T155" s="55"/>
      <c r="U155" s="55"/>
      <c r="V155" s="54"/>
      <c r="W155" s="54"/>
      <c r="X155" s="54"/>
      <c r="Y155" s="67"/>
      <c r="Z155" s="67"/>
      <c r="AA155" s="67"/>
      <c r="AB155" s="55"/>
      <c r="AC155" s="54"/>
      <c r="AF155" s="68"/>
      <c r="AG155" s="73"/>
      <c r="AH155" s="74"/>
      <c r="AI155" s="75"/>
      <c r="AJ155" s="75"/>
      <c r="AK155" s="75"/>
      <c r="AL155" s="75"/>
      <c r="AM155" s="75"/>
      <c r="AN155" s="75"/>
      <c r="AO155" s="75"/>
      <c r="AP155" s="75"/>
      <c r="AQ155" s="75"/>
      <c r="AR155" s="77"/>
      <c r="AT155" s="75"/>
      <c r="AU155" s="78"/>
      <c r="AW155" s="36"/>
    </row>
    <row r="156" s="44" customFormat="1" ht="37" customHeight="1" spans="1:49">
      <c r="A156" s="53"/>
      <c r="B156" s="54"/>
      <c r="C156" s="55"/>
      <c r="D156" s="54"/>
      <c r="E156" s="55"/>
      <c r="F156" s="55"/>
      <c r="G156" s="55"/>
      <c r="H156" s="54"/>
      <c r="I156" s="55"/>
      <c r="J156" s="59"/>
      <c r="K156" s="54"/>
      <c r="L156" s="54"/>
      <c r="M156" s="60"/>
      <c r="N156" s="54"/>
      <c r="O156" s="55"/>
      <c r="P156" s="55"/>
      <c r="Q156" s="55"/>
      <c r="R156" s="55"/>
      <c r="S156" s="55"/>
      <c r="T156" s="55"/>
      <c r="U156" s="55"/>
      <c r="V156" s="54"/>
      <c r="W156" s="54"/>
      <c r="X156" s="54"/>
      <c r="Y156" s="67"/>
      <c r="Z156" s="67"/>
      <c r="AA156" s="67"/>
      <c r="AB156" s="55"/>
      <c r="AC156" s="54"/>
      <c r="AF156" s="68"/>
      <c r="AG156" s="73"/>
      <c r="AH156" s="74"/>
      <c r="AI156" s="75"/>
      <c r="AJ156" s="75"/>
      <c r="AK156" s="75"/>
      <c r="AL156" s="75"/>
      <c r="AM156" s="75"/>
      <c r="AN156" s="75"/>
      <c r="AO156" s="75"/>
      <c r="AP156" s="75"/>
      <c r="AQ156" s="75"/>
      <c r="AR156" s="77"/>
      <c r="AT156" s="75"/>
      <c r="AU156" s="78"/>
      <c r="AW156" s="36"/>
    </row>
    <row r="157" s="44" customFormat="1" ht="37" customHeight="1" spans="1:49">
      <c r="A157" s="53"/>
      <c r="B157" s="54"/>
      <c r="C157" s="55"/>
      <c r="D157" s="54"/>
      <c r="E157" s="55"/>
      <c r="F157" s="55"/>
      <c r="G157" s="55"/>
      <c r="H157" s="54"/>
      <c r="I157" s="55"/>
      <c r="J157" s="59"/>
      <c r="K157" s="54"/>
      <c r="L157" s="54"/>
      <c r="M157" s="60"/>
      <c r="N157" s="54"/>
      <c r="O157" s="55"/>
      <c r="P157" s="55"/>
      <c r="Q157" s="55"/>
      <c r="R157" s="55"/>
      <c r="S157" s="55"/>
      <c r="T157" s="55"/>
      <c r="U157" s="55"/>
      <c r="V157" s="54"/>
      <c r="W157" s="54"/>
      <c r="X157" s="54"/>
      <c r="Y157" s="67"/>
      <c r="Z157" s="67"/>
      <c r="AA157" s="67"/>
      <c r="AB157" s="55"/>
      <c r="AC157" s="54"/>
      <c r="AF157" s="68"/>
      <c r="AG157" s="73"/>
      <c r="AH157" s="74"/>
      <c r="AI157" s="75"/>
      <c r="AJ157" s="75"/>
      <c r="AK157" s="75"/>
      <c r="AL157" s="75"/>
      <c r="AM157" s="75"/>
      <c r="AN157" s="75"/>
      <c r="AO157" s="75"/>
      <c r="AP157" s="75"/>
      <c r="AQ157" s="75"/>
      <c r="AR157" s="77"/>
      <c r="AT157" s="75"/>
      <c r="AU157" s="78"/>
      <c r="AW157" s="36"/>
    </row>
    <row r="158" s="44" customFormat="1" ht="37" customHeight="1" spans="1:49">
      <c r="A158" s="53"/>
      <c r="B158" s="54"/>
      <c r="C158" s="55"/>
      <c r="D158" s="54"/>
      <c r="E158" s="55"/>
      <c r="F158" s="55"/>
      <c r="G158" s="55"/>
      <c r="H158" s="54"/>
      <c r="I158" s="55"/>
      <c r="J158" s="59"/>
      <c r="K158" s="54"/>
      <c r="L158" s="54"/>
      <c r="M158" s="60"/>
      <c r="N158" s="54"/>
      <c r="O158" s="55"/>
      <c r="P158" s="55"/>
      <c r="Q158" s="55"/>
      <c r="R158" s="55"/>
      <c r="S158" s="55"/>
      <c r="T158" s="55"/>
      <c r="U158" s="55"/>
      <c r="V158" s="54"/>
      <c r="W158" s="54"/>
      <c r="X158" s="54"/>
      <c r="Y158" s="67"/>
      <c r="Z158" s="67"/>
      <c r="AA158" s="67"/>
      <c r="AB158" s="55"/>
      <c r="AC158" s="54"/>
      <c r="AF158" s="68"/>
      <c r="AG158" s="73"/>
      <c r="AH158" s="74"/>
      <c r="AI158" s="75"/>
      <c r="AJ158" s="75"/>
      <c r="AK158" s="75"/>
      <c r="AL158" s="75"/>
      <c r="AM158" s="75"/>
      <c r="AN158" s="75"/>
      <c r="AO158" s="75"/>
      <c r="AP158" s="75"/>
      <c r="AQ158" s="75"/>
      <c r="AR158" s="77"/>
      <c r="AT158" s="75"/>
      <c r="AU158" s="78"/>
      <c r="AW158" s="36"/>
    </row>
    <row r="159" s="44" customFormat="1" ht="37" customHeight="1" spans="1:49">
      <c r="A159" s="53"/>
      <c r="B159" s="54"/>
      <c r="C159" s="55"/>
      <c r="D159" s="54"/>
      <c r="E159" s="55"/>
      <c r="F159" s="55"/>
      <c r="G159" s="55"/>
      <c r="H159" s="54"/>
      <c r="I159" s="55"/>
      <c r="J159" s="59"/>
      <c r="K159" s="54"/>
      <c r="L159" s="54"/>
      <c r="M159" s="60"/>
      <c r="N159" s="54"/>
      <c r="O159" s="55"/>
      <c r="P159" s="55"/>
      <c r="Q159" s="55"/>
      <c r="R159" s="55"/>
      <c r="S159" s="55"/>
      <c r="T159" s="55"/>
      <c r="U159" s="55"/>
      <c r="V159" s="54"/>
      <c r="W159" s="54"/>
      <c r="X159" s="54"/>
      <c r="Y159" s="67"/>
      <c r="Z159" s="67"/>
      <c r="AA159" s="67"/>
      <c r="AB159" s="55"/>
      <c r="AC159" s="54"/>
      <c r="AF159" s="68"/>
      <c r="AG159" s="73"/>
      <c r="AH159" s="74"/>
      <c r="AI159" s="75"/>
      <c r="AJ159" s="75"/>
      <c r="AK159" s="75"/>
      <c r="AL159" s="75"/>
      <c r="AM159" s="75"/>
      <c r="AN159" s="75"/>
      <c r="AO159" s="75"/>
      <c r="AP159" s="75"/>
      <c r="AQ159" s="75"/>
      <c r="AR159" s="77"/>
      <c r="AT159" s="75"/>
      <c r="AU159" s="78"/>
      <c r="AW159" s="36"/>
    </row>
    <row r="160" s="44" customFormat="1" ht="37" customHeight="1" spans="1:49">
      <c r="A160" s="53"/>
      <c r="B160" s="54"/>
      <c r="C160" s="55"/>
      <c r="D160" s="54"/>
      <c r="E160" s="55"/>
      <c r="F160" s="55"/>
      <c r="G160" s="55"/>
      <c r="H160" s="54"/>
      <c r="I160" s="55"/>
      <c r="J160" s="59"/>
      <c r="K160" s="54"/>
      <c r="L160" s="54"/>
      <c r="M160" s="60"/>
      <c r="N160" s="54"/>
      <c r="O160" s="55"/>
      <c r="P160" s="55"/>
      <c r="Q160" s="55"/>
      <c r="R160" s="55"/>
      <c r="S160" s="55"/>
      <c r="T160" s="55"/>
      <c r="U160" s="55"/>
      <c r="V160" s="54"/>
      <c r="W160" s="54"/>
      <c r="X160" s="54"/>
      <c r="Y160" s="67"/>
      <c r="Z160" s="67"/>
      <c r="AA160" s="67"/>
      <c r="AB160" s="55"/>
      <c r="AC160" s="54"/>
      <c r="AF160" s="68"/>
      <c r="AG160" s="73"/>
      <c r="AH160" s="74"/>
      <c r="AI160" s="75"/>
      <c r="AJ160" s="75"/>
      <c r="AK160" s="75"/>
      <c r="AL160" s="75"/>
      <c r="AM160" s="75"/>
      <c r="AN160" s="75"/>
      <c r="AO160" s="75"/>
      <c r="AP160" s="75"/>
      <c r="AQ160" s="75"/>
      <c r="AR160" s="77"/>
      <c r="AT160" s="75"/>
      <c r="AU160" s="78"/>
      <c r="AW160" s="36"/>
    </row>
    <row r="161" s="44" customFormat="1" ht="37" customHeight="1" spans="1:49">
      <c r="A161" s="53"/>
      <c r="B161" s="54"/>
      <c r="C161" s="55"/>
      <c r="D161" s="54"/>
      <c r="E161" s="55"/>
      <c r="F161" s="55"/>
      <c r="G161" s="55"/>
      <c r="H161" s="54"/>
      <c r="I161" s="55"/>
      <c r="J161" s="59"/>
      <c r="K161" s="54"/>
      <c r="L161" s="54"/>
      <c r="M161" s="60"/>
      <c r="N161" s="54"/>
      <c r="O161" s="55"/>
      <c r="P161" s="55"/>
      <c r="Q161" s="55"/>
      <c r="R161" s="55"/>
      <c r="S161" s="55"/>
      <c r="T161" s="55"/>
      <c r="U161" s="55"/>
      <c r="V161" s="54"/>
      <c r="W161" s="54"/>
      <c r="X161" s="54"/>
      <c r="Y161" s="67"/>
      <c r="Z161" s="67"/>
      <c r="AA161" s="67"/>
      <c r="AB161" s="55"/>
      <c r="AC161" s="54"/>
      <c r="AF161" s="68"/>
      <c r="AG161" s="73"/>
      <c r="AH161" s="74"/>
      <c r="AI161" s="75"/>
      <c r="AJ161" s="75"/>
      <c r="AK161" s="75"/>
      <c r="AL161" s="75"/>
      <c r="AM161" s="75"/>
      <c r="AN161" s="75"/>
      <c r="AO161" s="75"/>
      <c r="AP161" s="75"/>
      <c r="AQ161" s="75"/>
      <c r="AR161" s="77"/>
      <c r="AT161" s="75"/>
      <c r="AU161" s="78"/>
      <c r="AW161" s="36"/>
    </row>
    <row r="162" s="44" customFormat="1" ht="37" customHeight="1" spans="1:49">
      <c r="A162" s="53"/>
      <c r="B162" s="54"/>
      <c r="C162" s="55"/>
      <c r="D162" s="54"/>
      <c r="E162" s="55"/>
      <c r="F162" s="55"/>
      <c r="G162" s="55"/>
      <c r="H162" s="54"/>
      <c r="I162" s="55"/>
      <c r="J162" s="59"/>
      <c r="K162" s="54"/>
      <c r="L162" s="54"/>
      <c r="M162" s="60"/>
      <c r="N162" s="54"/>
      <c r="O162" s="55"/>
      <c r="P162" s="55"/>
      <c r="Q162" s="55"/>
      <c r="R162" s="55"/>
      <c r="S162" s="55"/>
      <c r="T162" s="55"/>
      <c r="U162" s="55"/>
      <c r="V162" s="54"/>
      <c r="W162" s="54"/>
      <c r="X162" s="54"/>
      <c r="Y162" s="67"/>
      <c r="Z162" s="67"/>
      <c r="AA162" s="67"/>
      <c r="AB162" s="55"/>
      <c r="AC162" s="54"/>
      <c r="AF162" s="68"/>
      <c r="AG162" s="73"/>
      <c r="AH162" s="74"/>
      <c r="AI162" s="75"/>
      <c r="AJ162" s="75"/>
      <c r="AK162" s="75"/>
      <c r="AL162" s="75"/>
      <c r="AM162" s="75"/>
      <c r="AN162" s="75"/>
      <c r="AO162" s="75"/>
      <c r="AP162" s="75"/>
      <c r="AQ162" s="75"/>
      <c r="AR162" s="77"/>
      <c r="AT162" s="75"/>
      <c r="AU162" s="78"/>
      <c r="AW162" s="36"/>
    </row>
    <row r="163" s="44" customFormat="1" ht="37" customHeight="1" spans="1:49">
      <c r="A163" s="53"/>
      <c r="B163" s="54"/>
      <c r="C163" s="55"/>
      <c r="D163" s="54"/>
      <c r="E163" s="55"/>
      <c r="F163" s="55"/>
      <c r="G163" s="55"/>
      <c r="H163" s="54"/>
      <c r="I163" s="55"/>
      <c r="J163" s="59"/>
      <c r="K163" s="54"/>
      <c r="L163" s="54"/>
      <c r="M163" s="60"/>
      <c r="N163" s="54"/>
      <c r="O163" s="55"/>
      <c r="P163" s="55"/>
      <c r="Q163" s="55"/>
      <c r="R163" s="55"/>
      <c r="S163" s="55"/>
      <c r="T163" s="55"/>
      <c r="U163" s="55"/>
      <c r="V163" s="54"/>
      <c r="W163" s="54"/>
      <c r="X163" s="54"/>
      <c r="Y163" s="67"/>
      <c r="Z163" s="67"/>
      <c r="AA163" s="67"/>
      <c r="AB163" s="55"/>
      <c r="AC163" s="54"/>
      <c r="AF163" s="68"/>
      <c r="AG163" s="73"/>
      <c r="AH163" s="74"/>
      <c r="AI163" s="75"/>
      <c r="AJ163" s="75"/>
      <c r="AK163" s="75"/>
      <c r="AL163" s="75"/>
      <c r="AM163" s="75"/>
      <c r="AN163" s="75"/>
      <c r="AO163" s="75"/>
      <c r="AP163" s="75"/>
      <c r="AQ163" s="75"/>
      <c r="AR163" s="77"/>
      <c r="AT163" s="75"/>
      <c r="AU163" s="78"/>
      <c r="AW163" s="36"/>
    </row>
    <row r="164" s="44" customFormat="1" ht="37" customHeight="1" spans="1:49">
      <c r="A164" s="53"/>
      <c r="B164" s="54"/>
      <c r="C164" s="55"/>
      <c r="D164" s="54"/>
      <c r="E164" s="55"/>
      <c r="F164" s="55"/>
      <c r="G164" s="55"/>
      <c r="H164" s="54"/>
      <c r="I164" s="55"/>
      <c r="J164" s="59"/>
      <c r="K164" s="54"/>
      <c r="L164" s="54"/>
      <c r="M164" s="60"/>
      <c r="N164" s="54"/>
      <c r="O164" s="55"/>
      <c r="P164" s="55"/>
      <c r="Q164" s="55"/>
      <c r="R164" s="55"/>
      <c r="S164" s="55"/>
      <c r="T164" s="55"/>
      <c r="U164" s="55"/>
      <c r="V164" s="54"/>
      <c r="W164" s="54"/>
      <c r="X164" s="54"/>
      <c r="Y164" s="67"/>
      <c r="Z164" s="67"/>
      <c r="AA164" s="67"/>
      <c r="AB164" s="55"/>
      <c r="AC164" s="54"/>
      <c r="AF164" s="68"/>
      <c r="AG164" s="73"/>
      <c r="AH164" s="74"/>
      <c r="AI164" s="75"/>
      <c r="AJ164" s="75"/>
      <c r="AK164" s="75"/>
      <c r="AL164" s="75"/>
      <c r="AM164" s="75"/>
      <c r="AN164" s="75"/>
      <c r="AO164" s="75"/>
      <c r="AP164" s="75"/>
      <c r="AQ164" s="75"/>
      <c r="AR164" s="77"/>
      <c r="AT164" s="75"/>
      <c r="AU164" s="78"/>
      <c r="AW164" s="36"/>
    </row>
    <row r="165" s="44" customFormat="1" ht="37" customHeight="1" spans="1:49">
      <c r="A165" s="53"/>
      <c r="B165" s="54"/>
      <c r="C165" s="55"/>
      <c r="D165" s="54"/>
      <c r="E165" s="55"/>
      <c r="F165" s="55"/>
      <c r="G165" s="55"/>
      <c r="H165" s="54"/>
      <c r="I165" s="55"/>
      <c r="J165" s="59"/>
      <c r="K165" s="54"/>
      <c r="L165" s="54"/>
      <c r="M165" s="60"/>
      <c r="N165" s="54"/>
      <c r="O165" s="55"/>
      <c r="P165" s="55"/>
      <c r="Q165" s="55"/>
      <c r="R165" s="55"/>
      <c r="S165" s="55"/>
      <c r="T165" s="55"/>
      <c r="U165" s="55"/>
      <c r="V165" s="54"/>
      <c r="W165" s="54"/>
      <c r="X165" s="54"/>
      <c r="Y165" s="67"/>
      <c r="Z165" s="67"/>
      <c r="AA165" s="67"/>
      <c r="AB165" s="55"/>
      <c r="AC165" s="54"/>
      <c r="AF165" s="68"/>
      <c r="AG165" s="73"/>
      <c r="AH165" s="74"/>
      <c r="AI165" s="75"/>
      <c r="AJ165" s="75"/>
      <c r="AK165" s="75"/>
      <c r="AL165" s="75"/>
      <c r="AM165" s="75"/>
      <c r="AN165" s="75"/>
      <c r="AO165" s="75"/>
      <c r="AP165" s="75"/>
      <c r="AQ165" s="75"/>
      <c r="AR165" s="77"/>
      <c r="AT165" s="75"/>
      <c r="AU165" s="78"/>
      <c r="AW165" s="36"/>
    </row>
    <row r="166" s="44" customFormat="1" ht="37" customHeight="1" spans="1:49">
      <c r="A166" s="53"/>
      <c r="B166" s="54"/>
      <c r="C166" s="55"/>
      <c r="D166" s="54"/>
      <c r="E166" s="55"/>
      <c r="F166" s="55"/>
      <c r="G166" s="55"/>
      <c r="H166" s="54"/>
      <c r="I166" s="55"/>
      <c r="J166" s="59"/>
      <c r="K166" s="54"/>
      <c r="L166" s="54"/>
      <c r="M166" s="60"/>
      <c r="N166" s="54"/>
      <c r="O166" s="55"/>
      <c r="P166" s="55"/>
      <c r="Q166" s="55"/>
      <c r="R166" s="55"/>
      <c r="S166" s="55"/>
      <c r="T166" s="55"/>
      <c r="U166" s="55"/>
      <c r="V166" s="54"/>
      <c r="W166" s="54"/>
      <c r="X166" s="54"/>
      <c r="Y166" s="67"/>
      <c r="Z166" s="67"/>
      <c r="AA166" s="67"/>
      <c r="AB166" s="55"/>
      <c r="AC166" s="54"/>
      <c r="AF166" s="68"/>
      <c r="AG166" s="73"/>
      <c r="AH166" s="74"/>
      <c r="AI166" s="75"/>
      <c r="AJ166" s="75"/>
      <c r="AK166" s="75"/>
      <c r="AL166" s="75"/>
      <c r="AM166" s="75"/>
      <c r="AN166" s="75"/>
      <c r="AO166" s="75"/>
      <c r="AP166" s="75"/>
      <c r="AQ166" s="75"/>
      <c r="AR166" s="77"/>
      <c r="AT166" s="75"/>
      <c r="AU166" s="78"/>
      <c r="AW166" s="36"/>
    </row>
    <row r="167" s="44" customFormat="1" ht="37" customHeight="1" spans="1:49">
      <c r="A167" s="53"/>
      <c r="B167" s="54"/>
      <c r="C167" s="55"/>
      <c r="D167" s="54"/>
      <c r="E167" s="55"/>
      <c r="F167" s="55"/>
      <c r="G167" s="55"/>
      <c r="H167" s="54"/>
      <c r="I167" s="55"/>
      <c r="J167" s="59"/>
      <c r="K167" s="54"/>
      <c r="L167" s="54"/>
      <c r="M167" s="60"/>
      <c r="N167" s="54"/>
      <c r="O167" s="55"/>
      <c r="P167" s="55"/>
      <c r="Q167" s="55"/>
      <c r="R167" s="55"/>
      <c r="S167" s="55"/>
      <c r="T167" s="55"/>
      <c r="U167" s="55"/>
      <c r="V167" s="54"/>
      <c r="W167" s="54"/>
      <c r="X167" s="54"/>
      <c r="Y167" s="67"/>
      <c r="Z167" s="67"/>
      <c r="AA167" s="67"/>
      <c r="AB167" s="55"/>
      <c r="AC167" s="54"/>
      <c r="AF167" s="68"/>
      <c r="AG167" s="73"/>
      <c r="AH167" s="74"/>
      <c r="AI167" s="75"/>
      <c r="AJ167" s="75"/>
      <c r="AK167" s="75"/>
      <c r="AL167" s="75"/>
      <c r="AM167" s="75"/>
      <c r="AN167" s="75"/>
      <c r="AO167" s="75"/>
      <c r="AP167" s="75"/>
      <c r="AQ167" s="75"/>
      <c r="AR167" s="77"/>
      <c r="AT167" s="75"/>
      <c r="AU167" s="78"/>
      <c r="AW167" s="36"/>
    </row>
    <row r="168" s="44" customFormat="1" ht="37" customHeight="1" spans="1:49">
      <c r="A168" s="53"/>
      <c r="B168" s="54"/>
      <c r="C168" s="55"/>
      <c r="D168" s="54"/>
      <c r="E168" s="55"/>
      <c r="F168" s="55"/>
      <c r="G168" s="55"/>
      <c r="H168" s="54"/>
      <c r="I168" s="55"/>
      <c r="J168" s="59"/>
      <c r="K168" s="54"/>
      <c r="L168" s="54"/>
      <c r="M168" s="60"/>
      <c r="N168" s="54"/>
      <c r="O168" s="55"/>
      <c r="P168" s="55"/>
      <c r="Q168" s="55"/>
      <c r="R168" s="55"/>
      <c r="S168" s="55"/>
      <c r="T168" s="55"/>
      <c r="U168" s="55"/>
      <c r="V168" s="54"/>
      <c r="W168" s="54"/>
      <c r="X168" s="54"/>
      <c r="Y168" s="67"/>
      <c r="Z168" s="67"/>
      <c r="AA168" s="67"/>
      <c r="AB168" s="55"/>
      <c r="AC168" s="54"/>
      <c r="AF168" s="68"/>
      <c r="AG168" s="73"/>
      <c r="AH168" s="74"/>
      <c r="AI168" s="75"/>
      <c r="AJ168" s="75"/>
      <c r="AK168" s="75"/>
      <c r="AL168" s="75"/>
      <c r="AM168" s="75"/>
      <c r="AN168" s="75"/>
      <c r="AO168" s="75"/>
      <c r="AP168" s="75"/>
      <c r="AQ168" s="75"/>
      <c r="AR168" s="77"/>
      <c r="AT168" s="75"/>
      <c r="AU168" s="78"/>
      <c r="AW168" s="36"/>
    </row>
    <row r="169" s="44" customFormat="1" ht="37" customHeight="1" spans="1:49">
      <c r="A169" s="53"/>
      <c r="B169" s="54"/>
      <c r="C169" s="55"/>
      <c r="D169" s="54"/>
      <c r="E169" s="55"/>
      <c r="F169" s="55"/>
      <c r="G169" s="55"/>
      <c r="H169" s="54"/>
      <c r="I169" s="55"/>
      <c r="J169" s="59"/>
      <c r="K169" s="54"/>
      <c r="L169" s="54"/>
      <c r="M169" s="60"/>
      <c r="N169" s="54"/>
      <c r="O169" s="55"/>
      <c r="P169" s="55"/>
      <c r="Q169" s="55"/>
      <c r="R169" s="55"/>
      <c r="S169" s="55"/>
      <c r="T169" s="55"/>
      <c r="U169" s="55"/>
      <c r="V169" s="54"/>
      <c r="W169" s="54"/>
      <c r="X169" s="54"/>
      <c r="Y169" s="67"/>
      <c r="Z169" s="67"/>
      <c r="AA169" s="67"/>
      <c r="AB169" s="55"/>
      <c r="AC169" s="54"/>
      <c r="AF169" s="68"/>
      <c r="AG169" s="73"/>
      <c r="AH169" s="74"/>
      <c r="AI169" s="75"/>
      <c r="AJ169" s="75"/>
      <c r="AK169" s="75"/>
      <c r="AL169" s="75"/>
      <c r="AM169" s="75"/>
      <c r="AN169" s="75"/>
      <c r="AO169" s="75"/>
      <c r="AP169" s="75"/>
      <c r="AQ169" s="75"/>
      <c r="AR169" s="77"/>
      <c r="AT169" s="75"/>
      <c r="AU169" s="78"/>
      <c r="AW169" s="36"/>
    </row>
    <row r="170" s="44" customFormat="1" ht="37" customHeight="1" spans="1:49">
      <c r="A170" s="53"/>
      <c r="B170" s="54"/>
      <c r="C170" s="55"/>
      <c r="D170" s="54"/>
      <c r="E170" s="55"/>
      <c r="F170" s="55"/>
      <c r="G170" s="55"/>
      <c r="H170" s="54"/>
      <c r="I170" s="55"/>
      <c r="J170" s="59"/>
      <c r="K170" s="54"/>
      <c r="L170" s="54"/>
      <c r="M170" s="60"/>
      <c r="N170" s="54"/>
      <c r="O170" s="55"/>
      <c r="P170" s="55"/>
      <c r="Q170" s="55"/>
      <c r="R170" s="55"/>
      <c r="S170" s="55"/>
      <c r="T170" s="55"/>
      <c r="U170" s="55"/>
      <c r="V170" s="54"/>
      <c r="W170" s="54"/>
      <c r="X170" s="54"/>
      <c r="Y170" s="67"/>
      <c r="Z170" s="67"/>
      <c r="AA170" s="67"/>
      <c r="AB170" s="55"/>
      <c r="AC170" s="54"/>
      <c r="AF170" s="68"/>
      <c r="AG170" s="73"/>
      <c r="AH170" s="74"/>
      <c r="AI170" s="75"/>
      <c r="AJ170" s="75"/>
      <c r="AK170" s="75"/>
      <c r="AL170" s="75"/>
      <c r="AM170" s="75"/>
      <c r="AN170" s="75"/>
      <c r="AO170" s="75"/>
      <c r="AP170" s="75"/>
      <c r="AQ170" s="75"/>
      <c r="AR170" s="77"/>
      <c r="AT170" s="75"/>
      <c r="AU170" s="78"/>
      <c r="AW170" s="36"/>
    </row>
    <row r="171" s="44" customFormat="1" ht="37" customHeight="1" spans="1:49">
      <c r="A171" s="53"/>
      <c r="B171" s="54"/>
      <c r="C171" s="55"/>
      <c r="D171" s="54"/>
      <c r="E171" s="55"/>
      <c r="F171" s="55"/>
      <c r="G171" s="55"/>
      <c r="H171" s="54"/>
      <c r="I171" s="55"/>
      <c r="J171" s="59"/>
      <c r="K171" s="54"/>
      <c r="L171" s="54"/>
      <c r="M171" s="60"/>
      <c r="N171" s="54"/>
      <c r="O171" s="55"/>
      <c r="P171" s="55"/>
      <c r="Q171" s="55"/>
      <c r="R171" s="55"/>
      <c r="S171" s="55"/>
      <c r="T171" s="55"/>
      <c r="U171" s="55"/>
      <c r="V171" s="54"/>
      <c r="W171" s="54"/>
      <c r="X171" s="54"/>
      <c r="Y171" s="67"/>
      <c r="Z171" s="67"/>
      <c r="AA171" s="67"/>
      <c r="AB171" s="55"/>
      <c r="AC171" s="54"/>
      <c r="AF171" s="68"/>
      <c r="AG171" s="73"/>
      <c r="AH171" s="74"/>
      <c r="AI171" s="75"/>
      <c r="AJ171" s="75"/>
      <c r="AK171" s="75"/>
      <c r="AL171" s="75"/>
      <c r="AM171" s="75"/>
      <c r="AN171" s="75"/>
      <c r="AO171" s="75"/>
      <c r="AP171" s="75"/>
      <c r="AQ171" s="75"/>
      <c r="AR171" s="77"/>
      <c r="AT171" s="75"/>
      <c r="AU171" s="78"/>
      <c r="AW171" s="36"/>
    </row>
    <row r="172" s="44" customFormat="1" ht="37" customHeight="1" spans="1:49">
      <c r="A172" s="53"/>
      <c r="B172" s="54"/>
      <c r="C172" s="55"/>
      <c r="D172" s="54"/>
      <c r="E172" s="55"/>
      <c r="F172" s="55"/>
      <c r="G172" s="55"/>
      <c r="H172" s="54"/>
      <c r="I172" s="55"/>
      <c r="J172" s="59"/>
      <c r="K172" s="54"/>
      <c r="L172" s="54"/>
      <c r="M172" s="60"/>
      <c r="N172" s="54"/>
      <c r="O172" s="55"/>
      <c r="P172" s="55"/>
      <c r="Q172" s="55"/>
      <c r="R172" s="55"/>
      <c r="S172" s="55"/>
      <c r="T172" s="55"/>
      <c r="U172" s="55"/>
      <c r="V172" s="54"/>
      <c r="W172" s="54"/>
      <c r="X172" s="54"/>
      <c r="Y172" s="67"/>
      <c r="Z172" s="67"/>
      <c r="AA172" s="67"/>
      <c r="AB172" s="55"/>
      <c r="AC172" s="54"/>
      <c r="AF172" s="68"/>
      <c r="AG172" s="73"/>
      <c r="AH172" s="74"/>
      <c r="AI172" s="75"/>
      <c r="AJ172" s="75"/>
      <c r="AK172" s="75"/>
      <c r="AL172" s="75"/>
      <c r="AM172" s="75"/>
      <c r="AN172" s="75"/>
      <c r="AO172" s="75"/>
      <c r="AP172" s="75"/>
      <c r="AQ172" s="75"/>
      <c r="AR172" s="77"/>
      <c r="AT172" s="75"/>
      <c r="AU172" s="78"/>
      <c r="AW172" s="36"/>
    </row>
    <row r="173" s="44" customFormat="1" ht="37" customHeight="1" spans="1:49">
      <c r="A173" s="53"/>
      <c r="B173" s="54"/>
      <c r="C173" s="55"/>
      <c r="D173" s="54"/>
      <c r="E173" s="55"/>
      <c r="F173" s="55"/>
      <c r="G173" s="55"/>
      <c r="H173" s="54"/>
      <c r="I173" s="55"/>
      <c r="J173" s="59"/>
      <c r="K173" s="54"/>
      <c r="L173" s="54"/>
      <c r="M173" s="60"/>
      <c r="N173" s="54"/>
      <c r="O173" s="55"/>
      <c r="P173" s="55"/>
      <c r="Q173" s="55"/>
      <c r="R173" s="55"/>
      <c r="S173" s="55"/>
      <c r="T173" s="55"/>
      <c r="U173" s="55"/>
      <c r="V173" s="54"/>
      <c r="W173" s="54"/>
      <c r="X173" s="54"/>
      <c r="Y173" s="67"/>
      <c r="Z173" s="67"/>
      <c r="AA173" s="67"/>
      <c r="AB173" s="55"/>
      <c r="AC173" s="54"/>
      <c r="AF173" s="68"/>
      <c r="AG173" s="73"/>
      <c r="AH173" s="74"/>
      <c r="AI173" s="75"/>
      <c r="AJ173" s="75"/>
      <c r="AK173" s="75"/>
      <c r="AL173" s="75"/>
      <c r="AM173" s="75"/>
      <c r="AN173" s="75"/>
      <c r="AO173" s="75"/>
      <c r="AP173" s="75"/>
      <c r="AQ173" s="75"/>
      <c r="AR173" s="77"/>
      <c r="AT173" s="75"/>
      <c r="AU173" s="78"/>
      <c r="AW173" s="36"/>
    </row>
    <row r="174" s="44" customFormat="1" ht="37" customHeight="1" spans="1:49">
      <c r="A174" s="53"/>
      <c r="B174" s="54"/>
      <c r="C174" s="55"/>
      <c r="D174" s="54"/>
      <c r="E174" s="55"/>
      <c r="F174" s="55"/>
      <c r="G174" s="55"/>
      <c r="H174" s="54"/>
      <c r="I174" s="55"/>
      <c r="J174" s="59"/>
      <c r="K174" s="54"/>
      <c r="L174" s="54"/>
      <c r="M174" s="60"/>
      <c r="N174" s="54"/>
      <c r="O174" s="55"/>
      <c r="P174" s="55"/>
      <c r="Q174" s="55"/>
      <c r="R174" s="55"/>
      <c r="S174" s="55"/>
      <c r="T174" s="55"/>
      <c r="U174" s="55"/>
      <c r="V174" s="54"/>
      <c r="W174" s="54"/>
      <c r="X174" s="54"/>
      <c r="Y174" s="67"/>
      <c r="Z174" s="67"/>
      <c r="AA174" s="67"/>
      <c r="AB174" s="55"/>
      <c r="AC174" s="54"/>
      <c r="AF174" s="68"/>
      <c r="AG174" s="73"/>
      <c r="AH174" s="74"/>
      <c r="AI174" s="75"/>
      <c r="AJ174" s="75"/>
      <c r="AK174" s="75"/>
      <c r="AL174" s="75"/>
      <c r="AM174" s="75"/>
      <c r="AN174" s="75"/>
      <c r="AO174" s="75"/>
      <c r="AP174" s="75"/>
      <c r="AQ174" s="75"/>
      <c r="AR174" s="77"/>
      <c r="AT174" s="75"/>
      <c r="AU174" s="78"/>
      <c r="AW174" s="36"/>
    </row>
    <row r="175" s="44" customFormat="1" ht="37" customHeight="1" spans="1:49">
      <c r="A175" s="53"/>
      <c r="B175" s="54"/>
      <c r="C175" s="55"/>
      <c r="D175" s="54"/>
      <c r="E175" s="55"/>
      <c r="F175" s="55"/>
      <c r="G175" s="55"/>
      <c r="H175" s="54"/>
      <c r="I175" s="55"/>
      <c r="J175" s="59"/>
      <c r="K175" s="54"/>
      <c r="L175" s="54"/>
      <c r="M175" s="60"/>
      <c r="N175" s="54"/>
      <c r="O175" s="55"/>
      <c r="P175" s="55"/>
      <c r="Q175" s="55"/>
      <c r="R175" s="55"/>
      <c r="S175" s="55"/>
      <c r="T175" s="55"/>
      <c r="U175" s="55"/>
      <c r="V175" s="54"/>
      <c r="W175" s="54"/>
      <c r="X175" s="54"/>
      <c r="Y175" s="67"/>
      <c r="Z175" s="67"/>
      <c r="AA175" s="67"/>
      <c r="AB175" s="55"/>
      <c r="AC175" s="54"/>
      <c r="AF175" s="68"/>
      <c r="AG175" s="73"/>
      <c r="AH175" s="74"/>
      <c r="AI175" s="75"/>
      <c r="AJ175" s="75"/>
      <c r="AK175" s="75"/>
      <c r="AL175" s="75"/>
      <c r="AM175" s="75"/>
      <c r="AN175" s="75"/>
      <c r="AO175" s="75"/>
      <c r="AP175" s="75"/>
      <c r="AQ175" s="75"/>
      <c r="AR175" s="77"/>
      <c r="AT175" s="75"/>
      <c r="AU175" s="78"/>
      <c r="AW175" s="36"/>
    </row>
    <row r="176" s="44" customFormat="1" ht="37" customHeight="1" spans="1:49">
      <c r="A176" s="53"/>
      <c r="B176" s="54"/>
      <c r="C176" s="55"/>
      <c r="D176" s="54"/>
      <c r="E176" s="55"/>
      <c r="F176" s="55"/>
      <c r="G176" s="55"/>
      <c r="H176" s="54"/>
      <c r="I176" s="55"/>
      <c r="J176" s="59"/>
      <c r="K176" s="54"/>
      <c r="L176" s="54"/>
      <c r="M176" s="60"/>
      <c r="N176" s="54"/>
      <c r="O176" s="55"/>
      <c r="P176" s="55"/>
      <c r="Q176" s="55"/>
      <c r="R176" s="55"/>
      <c r="S176" s="55"/>
      <c r="T176" s="55"/>
      <c r="U176" s="55"/>
      <c r="V176" s="54"/>
      <c r="W176" s="54"/>
      <c r="X176" s="54"/>
      <c r="Y176" s="67"/>
      <c r="Z176" s="67"/>
      <c r="AA176" s="67"/>
      <c r="AB176" s="55"/>
      <c r="AC176" s="54"/>
      <c r="AF176" s="68"/>
      <c r="AG176" s="73"/>
      <c r="AH176" s="74"/>
      <c r="AI176" s="75"/>
      <c r="AJ176" s="75"/>
      <c r="AK176" s="75"/>
      <c r="AL176" s="75"/>
      <c r="AM176" s="75"/>
      <c r="AN176" s="75"/>
      <c r="AO176" s="75"/>
      <c r="AP176" s="75"/>
      <c r="AQ176" s="75"/>
      <c r="AR176" s="77"/>
      <c r="AT176" s="75"/>
      <c r="AU176" s="78"/>
      <c r="AW176" s="36"/>
    </row>
    <row r="177" s="44" customFormat="1" ht="37" customHeight="1" spans="1:49">
      <c r="A177" s="53"/>
      <c r="B177" s="54"/>
      <c r="C177" s="55"/>
      <c r="D177" s="54"/>
      <c r="E177" s="55"/>
      <c r="F177" s="55"/>
      <c r="G177" s="55"/>
      <c r="H177" s="54"/>
      <c r="I177" s="55"/>
      <c r="J177" s="59"/>
      <c r="K177" s="54"/>
      <c r="L177" s="54"/>
      <c r="M177" s="60"/>
      <c r="N177" s="54"/>
      <c r="O177" s="55"/>
      <c r="P177" s="55"/>
      <c r="Q177" s="55"/>
      <c r="R177" s="55"/>
      <c r="S177" s="55"/>
      <c r="T177" s="55"/>
      <c r="U177" s="55"/>
      <c r="V177" s="54"/>
      <c r="W177" s="54"/>
      <c r="X177" s="54"/>
      <c r="Y177" s="67"/>
      <c r="Z177" s="67"/>
      <c r="AA177" s="67"/>
      <c r="AB177" s="55"/>
      <c r="AC177" s="54"/>
      <c r="AF177" s="68"/>
      <c r="AG177" s="73"/>
      <c r="AH177" s="74"/>
      <c r="AI177" s="75"/>
      <c r="AJ177" s="75"/>
      <c r="AK177" s="75"/>
      <c r="AL177" s="75"/>
      <c r="AM177" s="75"/>
      <c r="AN177" s="75"/>
      <c r="AO177" s="75"/>
      <c r="AP177" s="75"/>
      <c r="AQ177" s="75"/>
      <c r="AR177" s="77"/>
      <c r="AT177" s="75"/>
      <c r="AU177" s="78"/>
      <c r="AW177" s="36"/>
    </row>
    <row r="178" s="44" customFormat="1" ht="37" customHeight="1" spans="1:49">
      <c r="A178" s="53"/>
      <c r="B178" s="54"/>
      <c r="C178" s="55"/>
      <c r="D178" s="54"/>
      <c r="E178" s="55"/>
      <c r="F178" s="55"/>
      <c r="G178" s="55"/>
      <c r="H178" s="54"/>
      <c r="I178" s="55"/>
      <c r="J178" s="59"/>
      <c r="K178" s="54"/>
      <c r="L178" s="54"/>
      <c r="M178" s="60"/>
      <c r="N178" s="54"/>
      <c r="O178" s="55"/>
      <c r="P178" s="55"/>
      <c r="Q178" s="55"/>
      <c r="R178" s="55"/>
      <c r="S178" s="55"/>
      <c r="T178" s="55"/>
      <c r="U178" s="55"/>
      <c r="V178" s="54"/>
      <c r="W178" s="54"/>
      <c r="X178" s="54"/>
      <c r="Y178" s="67"/>
      <c r="Z178" s="67"/>
      <c r="AA178" s="67"/>
      <c r="AB178" s="55"/>
      <c r="AC178" s="54"/>
      <c r="AF178" s="68"/>
      <c r="AG178" s="73"/>
      <c r="AH178" s="74"/>
      <c r="AI178" s="75"/>
      <c r="AJ178" s="75"/>
      <c r="AK178" s="75"/>
      <c r="AL178" s="75"/>
      <c r="AM178" s="75"/>
      <c r="AN178" s="75"/>
      <c r="AO178" s="75"/>
      <c r="AP178" s="75"/>
      <c r="AQ178" s="75"/>
      <c r="AR178" s="77"/>
      <c r="AT178" s="75"/>
      <c r="AU178" s="78"/>
      <c r="AW178" s="36"/>
    </row>
    <row r="179" s="44" customFormat="1" ht="37" customHeight="1" spans="1:49">
      <c r="A179" s="53"/>
      <c r="B179" s="54"/>
      <c r="C179" s="55"/>
      <c r="D179" s="54"/>
      <c r="E179" s="55"/>
      <c r="F179" s="55"/>
      <c r="G179" s="55"/>
      <c r="H179" s="54"/>
      <c r="I179" s="55"/>
      <c r="J179" s="59"/>
      <c r="K179" s="54"/>
      <c r="L179" s="54"/>
      <c r="M179" s="60"/>
      <c r="N179" s="54"/>
      <c r="O179" s="55"/>
      <c r="P179" s="55"/>
      <c r="Q179" s="55"/>
      <c r="R179" s="55"/>
      <c r="S179" s="55"/>
      <c r="T179" s="55"/>
      <c r="U179" s="55"/>
      <c r="V179" s="54"/>
      <c r="W179" s="54"/>
      <c r="X179" s="54"/>
      <c r="Y179" s="67"/>
      <c r="Z179" s="67"/>
      <c r="AA179" s="67"/>
      <c r="AB179" s="55"/>
      <c r="AC179" s="54"/>
      <c r="AF179" s="68"/>
      <c r="AG179" s="73"/>
      <c r="AH179" s="74"/>
      <c r="AI179" s="75"/>
      <c r="AJ179" s="75"/>
      <c r="AK179" s="75"/>
      <c r="AL179" s="75"/>
      <c r="AM179" s="75"/>
      <c r="AN179" s="75"/>
      <c r="AO179" s="75"/>
      <c r="AP179" s="75"/>
      <c r="AQ179" s="75"/>
      <c r="AR179" s="77"/>
      <c r="AT179" s="75"/>
      <c r="AU179" s="78"/>
      <c r="AW179" s="36"/>
    </row>
    <row r="180" s="44" customFormat="1" ht="37" customHeight="1" spans="1:49">
      <c r="A180" s="53"/>
      <c r="B180" s="54"/>
      <c r="C180" s="55"/>
      <c r="D180" s="54"/>
      <c r="E180" s="55"/>
      <c r="F180" s="55"/>
      <c r="G180" s="55"/>
      <c r="H180" s="54"/>
      <c r="I180" s="55"/>
      <c r="J180" s="59"/>
      <c r="K180" s="54"/>
      <c r="L180" s="54"/>
      <c r="M180" s="60"/>
      <c r="N180" s="54"/>
      <c r="O180" s="55"/>
      <c r="P180" s="55"/>
      <c r="Q180" s="55"/>
      <c r="R180" s="55"/>
      <c r="S180" s="55"/>
      <c r="T180" s="55"/>
      <c r="U180" s="55"/>
      <c r="V180" s="54"/>
      <c r="W180" s="54"/>
      <c r="X180" s="54"/>
      <c r="Y180" s="67"/>
      <c r="Z180" s="67"/>
      <c r="AA180" s="67"/>
      <c r="AB180" s="55"/>
      <c r="AC180" s="54"/>
      <c r="AF180" s="68"/>
      <c r="AG180" s="73"/>
      <c r="AH180" s="74"/>
      <c r="AI180" s="75"/>
      <c r="AJ180" s="75"/>
      <c r="AK180" s="75"/>
      <c r="AL180" s="75"/>
      <c r="AM180" s="75"/>
      <c r="AN180" s="75"/>
      <c r="AO180" s="75"/>
      <c r="AP180" s="75"/>
      <c r="AQ180" s="75"/>
      <c r="AR180" s="77"/>
      <c r="AT180" s="75"/>
      <c r="AU180" s="78"/>
      <c r="AW180" s="36"/>
    </row>
    <row r="181" s="44" customFormat="1" ht="37" customHeight="1" spans="1:49">
      <c r="A181" s="53"/>
      <c r="B181" s="54"/>
      <c r="C181" s="55"/>
      <c r="D181" s="54"/>
      <c r="E181" s="55"/>
      <c r="F181" s="55"/>
      <c r="G181" s="55"/>
      <c r="H181" s="54"/>
      <c r="I181" s="55"/>
      <c r="J181" s="59"/>
      <c r="K181" s="54"/>
      <c r="L181" s="54"/>
      <c r="M181" s="60"/>
      <c r="N181" s="54"/>
      <c r="O181" s="55"/>
      <c r="P181" s="55"/>
      <c r="Q181" s="55"/>
      <c r="R181" s="55"/>
      <c r="S181" s="55"/>
      <c r="T181" s="55"/>
      <c r="U181" s="55"/>
      <c r="V181" s="54"/>
      <c r="W181" s="54"/>
      <c r="X181" s="54"/>
      <c r="Y181" s="67"/>
      <c r="Z181" s="67"/>
      <c r="AA181" s="67"/>
      <c r="AB181" s="55"/>
      <c r="AC181" s="54"/>
      <c r="AF181" s="68"/>
      <c r="AG181" s="73"/>
      <c r="AH181" s="74"/>
      <c r="AI181" s="75"/>
      <c r="AJ181" s="75"/>
      <c r="AK181" s="75"/>
      <c r="AL181" s="75"/>
      <c r="AM181" s="75"/>
      <c r="AN181" s="75"/>
      <c r="AO181" s="75"/>
      <c r="AP181" s="75"/>
      <c r="AQ181" s="75"/>
      <c r="AR181" s="77"/>
      <c r="AT181" s="75"/>
      <c r="AU181" s="78"/>
      <c r="AW181" s="36"/>
    </row>
    <row r="182" s="44" customFormat="1" ht="37" customHeight="1" spans="1:49">
      <c r="A182" s="53"/>
      <c r="B182" s="54"/>
      <c r="C182" s="55"/>
      <c r="D182" s="54"/>
      <c r="E182" s="55"/>
      <c r="F182" s="55"/>
      <c r="G182" s="55"/>
      <c r="H182" s="54"/>
      <c r="I182" s="55"/>
      <c r="J182" s="59"/>
      <c r="K182" s="54"/>
      <c r="L182" s="54"/>
      <c r="M182" s="60"/>
      <c r="N182" s="54"/>
      <c r="O182" s="55"/>
      <c r="P182" s="55"/>
      <c r="Q182" s="55"/>
      <c r="R182" s="55"/>
      <c r="S182" s="55"/>
      <c r="T182" s="55"/>
      <c r="U182" s="55"/>
      <c r="V182" s="54"/>
      <c r="W182" s="54"/>
      <c r="X182" s="54"/>
      <c r="Y182" s="67"/>
      <c r="Z182" s="67"/>
      <c r="AA182" s="67"/>
      <c r="AB182" s="55"/>
      <c r="AC182" s="54"/>
      <c r="AF182" s="68"/>
      <c r="AG182" s="73"/>
      <c r="AH182" s="74"/>
      <c r="AI182" s="75"/>
      <c r="AJ182" s="75"/>
      <c r="AK182" s="75"/>
      <c r="AL182" s="75"/>
      <c r="AM182" s="75"/>
      <c r="AN182" s="75"/>
      <c r="AO182" s="75"/>
      <c r="AP182" s="75"/>
      <c r="AQ182" s="75"/>
      <c r="AR182" s="77"/>
      <c r="AT182" s="75"/>
      <c r="AU182" s="78"/>
      <c r="AW182" s="36"/>
    </row>
    <row r="183" s="44" customFormat="1" ht="37" customHeight="1" spans="1:49">
      <c r="A183" s="53"/>
      <c r="B183" s="54"/>
      <c r="C183" s="55"/>
      <c r="D183" s="54"/>
      <c r="E183" s="55"/>
      <c r="F183" s="55"/>
      <c r="G183" s="55"/>
      <c r="H183" s="54"/>
      <c r="I183" s="55"/>
      <c r="J183" s="59"/>
      <c r="K183" s="54"/>
      <c r="L183" s="54"/>
      <c r="M183" s="60"/>
      <c r="N183" s="54"/>
      <c r="O183" s="55"/>
      <c r="P183" s="55"/>
      <c r="Q183" s="55"/>
      <c r="R183" s="55"/>
      <c r="S183" s="55"/>
      <c r="T183" s="55"/>
      <c r="U183" s="55"/>
      <c r="V183" s="54"/>
      <c r="W183" s="54"/>
      <c r="X183" s="54"/>
      <c r="Y183" s="67"/>
      <c r="Z183" s="67"/>
      <c r="AA183" s="67"/>
      <c r="AB183" s="55"/>
      <c r="AC183" s="54"/>
      <c r="AF183" s="68"/>
      <c r="AG183" s="73"/>
      <c r="AH183" s="74"/>
      <c r="AI183" s="75"/>
      <c r="AJ183" s="75"/>
      <c r="AK183" s="75"/>
      <c r="AL183" s="75"/>
      <c r="AM183" s="75"/>
      <c r="AN183" s="75"/>
      <c r="AO183" s="75"/>
      <c r="AP183" s="75"/>
      <c r="AQ183" s="75"/>
      <c r="AR183" s="77"/>
      <c r="AT183" s="75"/>
      <c r="AU183" s="78"/>
      <c r="AW183" s="36"/>
    </row>
    <row r="184" s="44" customFormat="1" ht="37" customHeight="1" spans="1:49">
      <c r="A184" s="53"/>
      <c r="B184" s="54"/>
      <c r="C184" s="55"/>
      <c r="D184" s="54"/>
      <c r="E184" s="55"/>
      <c r="F184" s="55"/>
      <c r="G184" s="55"/>
      <c r="H184" s="54"/>
      <c r="I184" s="55"/>
      <c r="J184" s="59"/>
      <c r="K184" s="54"/>
      <c r="L184" s="54"/>
      <c r="M184" s="60"/>
      <c r="N184" s="54"/>
      <c r="O184" s="55"/>
      <c r="P184" s="55"/>
      <c r="Q184" s="55"/>
      <c r="R184" s="55"/>
      <c r="S184" s="55"/>
      <c r="T184" s="55"/>
      <c r="U184" s="55"/>
      <c r="V184" s="54"/>
      <c r="W184" s="54"/>
      <c r="X184" s="54"/>
      <c r="Y184" s="67"/>
      <c r="Z184" s="67"/>
      <c r="AA184" s="67"/>
      <c r="AB184" s="55"/>
      <c r="AC184" s="54"/>
      <c r="AF184" s="68"/>
      <c r="AG184" s="73"/>
      <c r="AH184" s="74"/>
      <c r="AI184" s="75"/>
      <c r="AJ184" s="75"/>
      <c r="AK184" s="75"/>
      <c r="AL184" s="75"/>
      <c r="AM184" s="75"/>
      <c r="AN184" s="75"/>
      <c r="AO184" s="75"/>
      <c r="AP184" s="75"/>
      <c r="AQ184" s="75"/>
      <c r="AR184" s="77"/>
      <c r="AT184" s="75"/>
      <c r="AU184" s="78"/>
      <c r="AW184" s="36"/>
    </row>
    <row r="185" s="44" customFormat="1" ht="37" customHeight="1" spans="1:49">
      <c r="A185" s="53"/>
      <c r="B185" s="54"/>
      <c r="C185" s="55"/>
      <c r="D185" s="54"/>
      <c r="E185" s="55"/>
      <c r="F185" s="55"/>
      <c r="G185" s="55"/>
      <c r="H185" s="54"/>
      <c r="I185" s="55"/>
      <c r="J185" s="59"/>
      <c r="K185" s="54"/>
      <c r="L185" s="54"/>
      <c r="M185" s="60"/>
      <c r="N185" s="54"/>
      <c r="O185" s="55"/>
      <c r="P185" s="55"/>
      <c r="Q185" s="55"/>
      <c r="R185" s="55"/>
      <c r="S185" s="55"/>
      <c r="T185" s="55"/>
      <c r="U185" s="55"/>
      <c r="V185" s="54"/>
      <c r="W185" s="54"/>
      <c r="X185" s="54"/>
      <c r="Y185" s="67"/>
      <c r="Z185" s="67"/>
      <c r="AA185" s="67"/>
      <c r="AB185" s="55"/>
      <c r="AC185" s="54"/>
      <c r="AF185" s="68"/>
      <c r="AG185" s="73"/>
      <c r="AH185" s="74"/>
      <c r="AI185" s="75"/>
      <c r="AJ185" s="75"/>
      <c r="AK185" s="75"/>
      <c r="AL185" s="75"/>
      <c r="AM185" s="75"/>
      <c r="AN185" s="75"/>
      <c r="AO185" s="75"/>
      <c r="AP185" s="75"/>
      <c r="AQ185" s="75"/>
      <c r="AR185" s="77"/>
      <c r="AT185" s="75"/>
      <c r="AU185" s="78"/>
      <c r="AW185" s="36"/>
    </row>
    <row r="186" s="44" customFormat="1" ht="37" customHeight="1" spans="1:49">
      <c r="A186" s="53"/>
      <c r="B186" s="54"/>
      <c r="C186" s="55"/>
      <c r="D186" s="54"/>
      <c r="E186" s="55"/>
      <c r="F186" s="55"/>
      <c r="G186" s="55"/>
      <c r="H186" s="54"/>
      <c r="I186" s="55"/>
      <c r="J186" s="59"/>
      <c r="K186" s="54"/>
      <c r="L186" s="54"/>
      <c r="M186" s="60"/>
      <c r="N186" s="54"/>
      <c r="O186" s="55"/>
      <c r="P186" s="55"/>
      <c r="Q186" s="55"/>
      <c r="R186" s="55"/>
      <c r="S186" s="55"/>
      <c r="T186" s="55"/>
      <c r="U186" s="55"/>
      <c r="V186" s="54"/>
      <c r="W186" s="54"/>
      <c r="X186" s="54"/>
      <c r="Y186" s="67"/>
      <c r="Z186" s="67"/>
      <c r="AA186" s="67"/>
      <c r="AB186" s="55"/>
      <c r="AC186" s="54"/>
      <c r="AF186" s="68"/>
      <c r="AG186" s="73"/>
      <c r="AH186" s="74"/>
      <c r="AI186" s="75"/>
      <c r="AJ186" s="75"/>
      <c r="AK186" s="75"/>
      <c r="AL186" s="75"/>
      <c r="AM186" s="75"/>
      <c r="AN186" s="75"/>
      <c r="AO186" s="75"/>
      <c r="AP186" s="75"/>
      <c r="AQ186" s="75"/>
      <c r="AR186" s="77"/>
      <c r="AT186" s="75"/>
      <c r="AU186" s="78"/>
      <c r="AW186" s="36"/>
    </row>
    <row r="187" s="44" customFormat="1" ht="37" customHeight="1" spans="1:49">
      <c r="A187" s="53"/>
      <c r="B187" s="54"/>
      <c r="C187" s="55"/>
      <c r="D187" s="54"/>
      <c r="E187" s="55"/>
      <c r="F187" s="55"/>
      <c r="G187" s="55"/>
      <c r="H187" s="54"/>
      <c r="I187" s="55"/>
      <c r="J187" s="59"/>
      <c r="K187" s="54"/>
      <c r="L187" s="54"/>
      <c r="M187" s="60"/>
      <c r="N187" s="54"/>
      <c r="O187" s="55"/>
      <c r="P187" s="55"/>
      <c r="Q187" s="55"/>
      <c r="R187" s="55"/>
      <c r="S187" s="55"/>
      <c r="T187" s="55"/>
      <c r="U187" s="55"/>
      <c r="V187" s="54"/>
      <c r="W187" s="54"/>
      <c r="X187" s="54"/>
      <c r="Y187" s="67"/>
      <c r="Z187" s="67"/>
      <c r="AA187" s="67"/>
      <c r="AB187" s="55"/>
      <c r="AC187" s="54"/>
      <c r="AF187" s="68"/>
      <c r="AG187" s="73"/>
      <c r="AH187" s="74"/>
      <c r="AI187" s="75"/>
      <c r="AJ187" s="75"/>
      <c r="AK187" s="75"/>
      <c r="AL187" s="75"/>
      <c r="AM187" s="75"/>
      <c r="AN187" s="75"/>
      <c r="AO187" s="75"/>
      <c r="AP187" s="75"/>
      <c r="AQ187" s="75"/>
      <c r="AR187" s="77"/>
      <c r="AT187" s="75"/>
      <c r="AU187" s="78"/>
      <c r="AW187" s="36"/>
    </row>
    <row r="188" s="44" customFormat="1" ht="37" customHeight="1" spans="1:49">
      <c r="A188" s="53"/>
      <c r="B188" s="54"/>
      <c r="C188" s="55"/>
      <c r="D188" s="54"/>
      <c r="E188" s="55"/>
      <c r="F188" s="55"/>
      <c r="G188" s="55"/>
      <c r="H188" s="54"/>
      <c r="I188" s="55"/>
      <c r="J188" s="59"/>
      <c r="K188" s="54"/>
      <c r="L188" s="54"/>
      <c r="M188" s="60"/>
      <c r="N188" s="54"/>
      <c r="O188" s="55"/>
      <c r="P188" s="55"/>
      <c r="Q188" s="55"/>
      <c r="R188" s="55"/>
      <c r="S188" s="55"/>
      <c r="T188" s="55"/>
      <c r="U188" s="55"/>
      <c r="V188" s="54"/>
      <c r="W188" s="54"/>
      <c r="X188" s="54"/>
      <c r="Y188" s="67"/>
      <c r="Z188" s="67"/>
      <c r="AA188" s="67"/>
      <c r="AB188" s="55"/>
      <c r="AC188" s="54"/>
      <c r="AF188" s="68"/>
      <c r="AG188" s="73"/>
      <c r="AH188" s="74"/>
      <c r="AI188" s="75"/>
      <c r="AJ188" s="75"/>
      <c r="AK188" s="75"/>
      <c r="AL188" s="75"/>
      <c r="AM188" s="75"/>
      <c r="AN188" s="75"/>
      <c r="AO188" s="75"/>
      <c r="AP188" s="75"/>
      <c r="AQ188" s="75"/>
      <c r="AR188" s="77"/>
      <c r="AT188" s="75"/>
      <c r="AU188" s="78"/>
      <c r="AW188" s="36"/>
    </row>
    <row r="189" s="44" customFormat="1" ht="37" customHeight="1" spans="1:49">
      <c r="A189" s="53"/>
      <c r="B189" s="54"/>
      <c r="C189" s="55"/>
      <c r="D189" s="54"/>
      <c r="E189" s="55"/>
      <c r="F189" s="55"/>
      <c r="G189" s="55"/>
      <c r="H189" s="54"/>
      <c r="I189" s="55"/>
      <c r="J189" s="59"/>
      <c r="K189" s="54"/>
      <c r="L189" s="54"/>
      <c r="M189" s="60"/>
      <c r="N189" s="54"/>
      <c r="O189" s="55"/>
      <c r="P189" s="55"/>
      <c r="Q189" s="55"/>
      <c r="R189" s="55"/>
      <c r="S189" s="55"/>
      <c r="T189" s="55"/>
      <c r="U189" s="55"/>
      <c r="V189" s="54"/>
      <c r="W189" s="54"/>
      <c r="X189" s="54"/>
      <c r="Y189" s="67"/>
      <c r="Z189" s="67"/>
      <c r="AA189" s="67"/>
      <c r="AB189" s="55"/>
      <c r="AC189" s="54"/>
      <c r="AF189" s="68"/>
      <c r="AG189" s="73"/>
      <c r="AH189" s="74"/>
      <c r="AI189" s="75"/>
      <c r="AJ189" s="75"/>
      <c r="AK189" s="75"/>
      <c r="AL189" s="75"/>
      <c r="AM189" s="75"/>
      <c r="AN189" s="75"/>
      <c r="AO189" s="75"/>
      <c r="AP189" s="75"/>
      <c r="AQ189" s="75"/>
      <c r="AR189" s="77"/>
      <c r="AT189" s="75"/>
      <c r="AU189" s="78"/>
      <c r="AW189" s="36"/>
    </row>
    <row r="190" s="44" customFormat="1" ht="37" customHeight="1" spans="1:49">
      <c r="A190" s="53"/>
      <c r="B190" s="54"/>
      <c r="C190" s="55"/>
      <c r="D190" s="54"/>
      <c r="E190" s="55"/>
      <c r="F190" s="55"/>
      <c r="G190" s="55"/>
      <c r="H190" s="54"/>
      <c r="I190" s="55"/>
      <c r="J190" s="59"/>
      <c r="K190" s="54"/>
      <c r="L190" s="54"/>
      <c r="M190" s="60"/>
      <c r="N190" s="54"/>
      <c r="O190" s="55"/>
      <c r="P190" s="55"/>
      <c r="Q190" s="55"/>
      <c r="R190" s="55"/>
      <c r="S190" s="55"/>
      <c r="T190" s="55"/>
      <c r="U190" s="55"/>
      <c r="V190" s="54"/>
      <c r="W190" s="54"/>
      <c r="X190" s="54"/>
      <c r="Y190" s="67"/>
      <c r="Z190" s="67"/>
      <c r="AA190" s="67"/>
      <c r="AB190" s="55"/>
      <c r="AC190" s="54"/>
      <c r="AF190" s="68"/>
      <c r="AG190" s="73"/>
      <c r="AH190" s="74"/>
      <c r="AI190" s="75"/>
      <c r="AJ190" s="75"/>
      <c r="AK190" s="75"/>
      <c r="AL190" s="75"/>
      <c r="AM190" s="75"/>
      <c r="AN190" s="75"/>
      <c r="AO190" s="75"/>
      <c r="AP190" s="75"/>
      <c r="AQ190" s="75"/>
      <c r="AR190" s="77"/>
      <c r="AT190" s="75"/>
      <c r="AU190" s="78"/>
      <c r="AW190" s="36"/>
    </row>
    <row r="191" s="44" customFormat="1" ht="37" customHeight="1" spans="1:49">
      <c r="A191" s="53"/>
      <c r="B191" s="54"/>
      <c r="C191" s="55"/>
      <c r="D191" s="54"/>
      <c r="E191" s="55"/>
      <c r="F191" s="55"/>
      <c r="G191" s="55"/>
      <c r="H191" s="54"/>
      <c r="I191" s="55"/>
      <c r="J191" s="59"/>
      <c r="K191" s="54"/>
      <c r="L191" s="54"/>
      <c r="M191" s="60"/>
      <c r="N191" s="54"/>
      <c r="O191" s="55"/>
      <c r="P191" s="55"/>
      <c r="Q191" s="55"/>
      <c r="R191" s="55"/>
      <c r="S191" s="55"/>
      <c r="T191" s="55"/>
      <c r="U191" s="55"/>
      <c r="V191" s="54"/>
      <c r="W191" s="54"/>
      <c r="X191" s="54"/>
      <c r="Y191" s="67"/>
      <c r="Z191" s="67"/>
      <c r="AA191" s="67"/>
      <c r="AB191" s="55"/>
      <c r="AC191" s="54"/>
      <c r="AF191" s="68"/>
      <c r="AG191" s="73"/>
      <c r="AH191" s="74"/>
      <c r="AI191" s="75"/>
      <c r="AJ191" s="75"/>
      <c r="AK191" s="75"/>
      <c r="AL191" s="75"/>
      <c r="AM191" s="75"/>
      <c r="AN191" s="75"/>
      <c r="AO191" s="75"/>
      <c r="AP191" s="75"/>
      <c r="AQ191" s="75"/>
      <c r="AR191" s="77"/>
      <c r="AT191" s="75"/>
      <c r="AU191" s="78"/>
      <c r="AW191" s="36"/>
    </row>
    <row r="192" s="44" customFormat="1" ht="37" customHeight="1" spans="1:49">
      <c r="A192" s="53"/>
      <c r="B192" s="54"/>
      <c r="C192" s="55"/>
      <c r="D192" s="54"/>
      <c r="E192" s="55"/>
      <c r="F192" s="55"/>
      <c r="G192" s="55"/>
      <c r="H192" s="54"/>
      <c r="I192" s="55"/>
      <c r="J192" s="59"/>
      <c r="K192" s="54"/>
      <c r="L192" s="54"/>
      <c r="M192" s="60"/>
      <c r="N192" s="54"/>
      <c r="O192" s="55"/>
      <c r="P192" s="55"/>
      <c r="Q192" s="55"/>
      <c r="R192" s="55"/>
      <c r="S192" s="55"/>
      <c r="T192" s="55"/>
      <c r="U192" s="55"/>
      <c r="V192" s="54"/>
      <c r="W192" s="54"/>
      <c r="X192" s="54"/>
      <c r="Y192" s="67"/>
      <c r="Z192" s="67"/>
      <c r="AA192" s="67"/>
      <c r="AB192" s="55"/>
      <c r="AC192" s="54"/>
      <c r="AF192" s="68"/>
      <c r="AG192" s="73"/>
      <c r="AH192" s="74"/>
      <c r="AI192" s="75"/>
      <c r="AJ192" s="75"/>
      <c r="AK192" s="75"/>
      <c r="AL192" s="75"/>
      <c r="AM192" s="75"/>
      <c r="AN192" s="75"/>
      <c r="AO192" s="75"/>
      <c r="AP192" s="75"/>
      <c r="AQ192" s="75"/>
      <c r="AR192" s="77"/>
      <c r="AT192" s="75"/>
      <c r="AU192" s="78"/>
      <c r="AW192" s="36"/>
    </row>
    <row r="193" s="44" customFormat="1" ht="37" customHeight="1" spans="1:49">
      <c r="A193" s="53"/>
      <c r="B193" s="54"/>
      <c r="C193" s="55"/>
      <c r="D193" s="54"/>
      <c r="E193" s="55"/>
      <c r="F193" s="55"/>
      <c r="G193" s="55"/>
      <c r="H193" s="54"/>
      <c r="I193" s="55"/>
      <c r="J193" s="59"/>
      <c r="K193" s="54"/>
      <c r="L193" s="54"/>
      <c r="M193" s="60"/>
      <c r="N193" s="54"/>
      <c r="O193" s="55"/>
      <c r="P193" s="55"/>
      <c r="Q193" s="55"/>
      <c r="R193" s="55"/>
      <c r="S193" s="55"/>
      <c r="T193" s="55"/>
      <c r="U193" s="55"/>
      <c r="V193" s="54"/>
      <c r="W193" s="54"/>
      <c r="X193" s="54"/>
      <c r="Y193" s="67"/>
      <c r="Z193" s="67"/>
      <c r="AA193" s="67"/>
      <c r="AB193" s="55"/>
      <c r="AC193" s="54"/>
      <c r="AF193" s="68"/>
      <c r="AG193" s="73"/>
      <c r="AH193" s="74"/>
      <c r="AI193" s="75"/>
      <c r="AJ193" s="75"/>
      <c r="AK193" s="75"/>
      <c r="AL193" s="75"/>
      <c r="AM193" s="75"/>
      <c r="AN193" s="75"/>
      <c r="AO193" s="75"/>
      <c r="AP193" s="75"/>
      <c r="AQ193" s="75"/>
      <c r="AR193" s="77"/>
      <c r="AT193" s="75"/>
      <c r="AU193" s="78"/>
      <c r="AW193" s="36"/>
    </row>
    <row r="194" s="44" customFormat="1" ht="37" customHeight="1" spans="1:49">
      <c r="A194" s="53"/>
      <c r="B194" s="54"/>
      <c r="C194" s="55"/>
      <c r="D194" s="54"/>
      <c r="E194" s="55"/>
      <c r="F194" s="55"/>
      <c r="G194" s="55"/>
      <c r="H194" s="54"/>
      <c r="I194" s="55"/>
      <c r="J194" s="59"/>
      <c r="K194" s="54"/>
      <c r="L194" s="54"/>
      <c r="M194" s="60"/>
      <c r="N194" s="54"/>
      <c r="O194" s="55"/>
      <c r="P194" s="55"/>
      <c r="Q194" s="55"/>
      <c r="R194" s="55"/>
      <c r="S194" s="55"/>
      <c r="T194" s="55"/>
      <c r="U194" s="55"/>
      <c r="V194" s="54"/>
      <c r="W194" s="54"/>
      <c r="X194" s="54"/>
      <c r="Y194" s="67"/>
      <c r="Z194" s="67"/>
      <c r="AA194" s="67"/>
      <c r="AB194" s="55"/>
      <c r="AC194" s="54"/>
      <c r="AF194" s="68"/>
      <c r="AG194" s="73"/>
      <c r="AH194" s="74"/>
      <c r="AI194" s="75"/>
      <c r="AJ194" s="75"/>
      <c r="AK194" s="75"/>
      <c r="AL194" s="75"/>
      <c r="AM194" s="75"/>
      <c r="AN194" s="75"/>
      <c r="AO194" s="75"/>
      <c r="AP194" s="75"/>
      <c r="AQ194" s="75"/>
      <c r="AR194" s="77"/>
      <c r="AT194" s="75"/>
      <c r="AU194" s="78"/>
      <c r="AW194" s="36"/>
    </row>
    <row r="195" s="44" customFormat="1" ht="37" customHeight="1" spans="1:49">
      <c r="A195" s="53"/>
      <c r="B195" s="54"/>
      <c r="C195" s="55"/>
      <c r="D195" s="54"/>
      <c r="E195" s="55"/>
      <c r="F195" s="55"/>
      <c r="G195" s="55"/>
      <c r="H195" s="54"/>
      <c r="I195" s="55"/>
      <c r="J195" s="59"/>
      <c r="K195" s="54"/>
      <c r="L195" s="54"/>
      <c r="M195" s="60"/>
      <c r="N195" s="54"/>
      <c r="O195" s="55"/>
      <c r="P195" s="55"/>
      <c r="Q195" s="55"/>
      <c r="R195" s="55"/>
      <c r="S195" s="55"/>
      <c r="T195" s="55"/>
      <c r="U195" s="55"/>
      <c r="V195" s="54"/>
      <c r="W195" s="54"/>
      <c r="X195" s="54"/>
      <c r="Y195" s="67"/>
      <c r="Z195" s="67"/>
      <c r="AA195" s="67"/>
      <c r="AB195" s="55"/>
      <c r="AC195" s="54"/>
      <c r="AF195" s="68"/>
      <c r="AG195" s="73"/>
      <c r="AH195" s="74"/>
      <c r="AI195" s="75"/>
      <c r="AJ195" s="75"/>
      <c r="AK195" s="75"/>
      <c r="AL195" s="75"/>
      <c r="AM195" s="75"/>
      <c r="AN195" s="75"/>
      <c r="AO195" s="75"/>
      <c r="AP195" s="75"/>
      <c r="AQ195" s="75"/>
      <c r="AR195" s="77"/>
      <c r="AT195" s="75"/>
      <c r="AU195" s="78"/>
      <c r="AW195" s="36"/>
    </row>
    <row r="196" s="44" customFormat="1" ht="37" customHeight="1" spans="1:49">
      <c r="A196" s="53"/>
      <c r="B196" s="54"/>
      <c r="C196" s="55"/>
      <c r="D196" s="54"/>
      <c r="E196" s="55"/>
      <c r="F196" s="55"/>
      <c r="G196" s="55"/>
      <c r="H196" s="54"/>
      <c r="I196" s="55"/>
      <c r="J196" s="59"/>
      <c r="K196" s="54"/>
      <c r="L196" s="54"/>
      <c r="M196" s="60"/>
      <c r="N196" s="54"/>
      <c r="O196" s="55"/>
      <c r="P196" s="55"/>
      <c r="Q196" s="55"/>
      <c r="R196" s="55"/>
      <c r="S196" s="55"/>
      <c r="T196" s="55"/>
      <c r="U196" s="55"/>
      <c r="V196" s="54"/>
      <c r="W196" s="54"/>
      <c r="X196" s="54"/>
      <c r="Y196" s="67"/>
      <c r="Z196" s="67"/>
      <c r="AA196" s="67"/>
      <c r="AB196" s="55"/>
      <c r="AC196" s="54"/>
      <c r="AF196" s="68"/>
      <c r="AG196" s="73"/>
      <c r="AH196" s="74"/>
      <c r="AI196" s="75"/>
      <c r="AJ196" s="75"/>
      <c r="AK196" s="75"/>
      <c r="AL196" s="75"/>
      <c r="AM196" s="75"/>
      <c r="AN196" s="75"/>
      <c r="AO196" s="75"/>
      <c r="AP196" s="75"/>
      <c r="AQ196" s="75"/>
      <c r="AR196" s="77"/>
      <c r="AT196" s="75"/>
      <c r="AU196" s="78"/>
      <c r="AW196" s="36"/>
    </row>
    <row r="197" s="44" customFormat="1" ht="37" customHeight="1" spans="1:49">
      <c r="A197" s="53"/>
      <c r="B197" s="54"/>
      <c r="C197" s="55"/>
      <c r="D197" s="54"/>
      <c r="E197" s="55"/>
      <c r="F197" s="55"/>
      <c r="G197" s="55"/>
      <c r="H197" s="54"/>
      <c r="I197" s="55"/>
      <c r="J197" s="59"/>
      <c r="K197" s="54"/>
      <c r="L197" s="54"/>
      <c r="M197" s="60"/>
      <c r="N197" s="54"/>
      <c r="O197" s="55"/>
      <c r="P197" s="55"/>
      <c r="Q197" s="55"/>
      <c r="R197" s="55"/>
      <c r="S197" s="55"/>
      <c r="T197" s="55"/>
      <c r="U197" s="55"/>
      <c r="V197" s="54"/>
      <c r="W197" s="54"/>
      <c r="X197" s="54"/>
      <c r="Y197" s="67"/>
      <c r="Z197" s="67"/>
      <c r="AA197" s="67"/>
      <c r="AB197" s="55"/>
      <c r="AC197" s="54"/>
      <c r="AF197" s="68"/>
      <c r="AG197" s="73"/>
      <c r="AH197" s="74"/>
      <c r="AI197" s="75"/>
      <c r="AJ197" s="75"/>
      <c r="AK197" s="75"/>
      <c r="AL197" s="75"/>
      <c r="AM197" s="75"/>
      <c r="AN197" s="75"/>
      <c r="AO197" s="75"/>
      <c r="AP197" s="75"/>
      <c r="AQ197" s="75"/>
      <c r="AR197" s="77"/>
      <c r="AT197" s="75"/>
      <c r="AU197" s="78"/>
      <c r="AW197" s="36"/>
    </row>
    <row r="198" s="44" customFormat="1" ht="37" customHeight="1" spans="1:49">
      <c r="A198" s="53"/>
      <c r="B198" s="54"/>
      <c r="C198" s="55"/>
      <c r="D198" s="54"/>
      <c r="E198" s="55"/>
      <c r="F198" s="55"/>
      <c r="G198" s="55"/>
      <c r="H198" s="54"/>
      <c r="I198" s="55"/>
      <c r="J198" s="59"/>
      <c r="K198" s="54"/>
      <c r="L198" s="54"/>
      <c r="M198" s="60"/>
      <c r="N198" s="54"/>
      <c r="O198" s="55"/>
      <c r="P198" s="55"/>
      <c r="Q198" s="55"/>
      <c r="R198" s="55"/>
      <c r="S198" s="55"/>
      <c r="T198" s="55"/>
      <c r="U198" s="55"/>
      <c r="V198" s="54"/>
      <c r="W198" s="54"/>
      <c r="X198" s="54"/>
      <c r="Y198" s="67"/>
      <c r="Z198" s="67"/>
      <c r="AA198" s="67"/>
      <c r="AB198" s="55"/>
      <c r="AC198" s="54"/>
      <c r="AF198" s="68"/>
      <c r="AG198" s="73"/>
      <c r="AH198" s="74"/>
      <c r="AI198" s="75"/>
      <c r="AJ198" s="75"/>
      <c r="AK198" s="75"/>
      <c r="AL198" s="75"/>
      <c r="AM198" s="75"/>
      <c r="AN198" s="75"/>
      <c r="AO198" s="75"/>
      <c r="AP198" s="75"/>
      <c r="AQ198" s="75"/>
      <c r="AR198" s="77"/>
      <c r="AT198" s="75"/>
      <c r="AU198" s="78"/>
      <c r="AW198" s="36"/>
    </row>
    <row r="199" s="44" customFormat="1" ht="37" customHeight="1" spans="1:49">
      <c r="A199" s="53"/>
      <c r="B199" s="54"/>
      <c r="C199" s="55"/>
      <c r="D199" s="54"/>
      <c r="E199" s="55"/>
      <c r="F199" s="55"/>
      <c r="G199" s="55"/>
      <c r="H199" s="54"/>
      <c r="I199" s="55"/>
      <c r="J199" s="59"/>
      <c r="K199" s="54"/>
      <c r="L199" s="54"/>
      <c r="M199" s="60"/>
      <c r="N199" s="54"/>
      <c r="O199" s="55"/>
      <c r="P199" s="55"/>
      <c r="Q199" s="55"/>
      <c r="R199" s="55"/>
      <c r="S199" s="55"/>
      <c r="T199" s="55"/>
      <c r="U199" s="55"/>
      <c r="V199" s="54"/>
      <c r="W199" s="54"/>
      <c r="X199" s="54"/>
      <c r="Y199" s="67"/>
      <c r="Z199" s="67"/>
      <c r="AA199" s="67"/>
      <c r="AB199" s="55"/>
      <c r="AC199" s="54"/>
      <c r="AF199" s="68"/>
      <c r="AG199" s="73"/>
      <c r="AH199" s="74"/>
      <c r="AI199" s="75"/>
      <c r="AJ199" s="75"/>
      <c r="AK199" s="75"/>
      <c r="AL199" s="75"/>
      <c r="AM199" s="75"/>
      <c r="AN199" s="75"/>
      <c r="AO199" s="75"/>
      <c r="AP199" s="75"/>
      <c r="AQ199" s="75"/>
      <c r="AR199" s="77"/>
      <c r="AT199" s="75"/>
      <c r="AU199" s="78"/>
      <c r="AW199" s="36"/>
    </row>
    <row r="200" s="44" customFormat="1" ht="37" customHeight="1" spans="1:49">
      <c r="A200" s="53"/>
      <c r="B200" s="54"/>
      <c r="C200" s="55"/>
      <c r="D200" s="54"/>
      <c r="E200" s="55"/>
      <c r="F200" s="55"/>
      <c r="G200" s="55"/>
      <c r="H200" s="54"/>
      <c r="I200" s="55"/>
      <c r="J200" s="59"/>
      <c r="K200" s="54"/>
      <c r="L200" s="54"/>
      <c r="M200" s="60"/>
      <c r="N200" s="54"/>
      <c r="O200" s="55"/>
      <c r="P200" s="55"/>
      <c r="Q200" s="55"/>
      <c r="R200" s="55"/>
      <c r="S200" s="55"/>
      <c r="T200" s="55"/>
      <c r="U200" s="55"/>
      <c r="V200" s="54"/>
      <c r="W200" s="54"/>
      <c r="X200" s="54"/>
      <c r="Y200" s="67"/>
      <c r="Z200" s="67"/>
      <c r="AA200" s="67"/>
      <c r="AB200" s="55"/>
      <c r="AC200" s="54"/>
      <c r="AF200" s="68"/>
      <c r="AG200" s="73"/>
      <c r="AH200" s="74"/>
      <c r="AI200" s="75"/>
      <c r="AJ200" s="75"/>
      <c r="AK200" s="75"/>
      <c r="AL200" s="75"/>
      <c r="AM200" s="75"/>
      <c r="AN200" s="75"/>
      <c r="AO200" s="75"/>
      <c r="AP200" s="75"/>
      <c r="AQ200" s="75"/>
      <c r="AR200" s="77"/>
      <c r="AT200" s="75"/>
      <c r="AU200" s="78"/>
      <c r="AW200" s="36"/>
    </row>
    <row r="201" s="44" customFormat="1" ht="37" customHeight="1" spans="1:49">
      <c r="A201" s="53"/>
      <c r="B201" s="54"/>
      <c r="C201" s="55"/>
      <c r="D201" s="54"/>
      <c r="E201" s="55"/>
      <c r="F201" s="55"/>
      <c r="G201" s="55"/>
      <c r="H201" s="54"/>
      <c r="I201" s="55"/>
      <c r="J201" s="59"/>
      <c r="K201" s="54"/>
      <c r="L201" s="54"/>
      <c r="M201" s="60"/>
      <c r="N201" s="54"/>
      <c r="O201" s="55"/>
      <c r="P201" s="55"/>
      <c r="Q201" s="55"/>
      <c r="R201" s="55"/>
      <c r="S201" s="55"/>
      <c r="T201" s="55"/>
      <c r="U201" s="55"/>
      <c r="V201" s="54"/>
      <c r="W201" s="54"/>
      <c r="X201" s="54"/>
      <c r="Y201" s="67"/>
      <c r="Z201" s="67"/>
      <c r="AA201" s="67"/>
      <c r="AB201" s="55"/>
      <c r="AC201" s="54"/>
      <c r="AF201" s="68"/>
      <c r="AG201" s="73"/>
      <c r="AH201" s="74"/>
      <c r="AI201" s="75"/>
      <c r="AJ201" s="75"/>
      <c r="AK201" s="75"/>
      <c r="AL201" s="75"/>
      <c r="AM201" s="75"/>
      <c r="AN201" s="75"/>
      <c r="AO201" s="75"/>
      <c r="AP201" s="75"/>
      <c r="AQ201" s="75"/>
      <c r="AR201" s="77"/>
      <c r="AT201" s="75"/>
      <c r="AU201" s="78"/>
      <c r="AW201" s="36"/>
    </row>
    <row r="202" s="44" customFormat="1" ht="37" customHeight="1" spans="1:49">
      <c r="A202" s="53"/>
      <c r="B202" s="54"/>
      <c r="C202" s="55"/>
      <c r="D202" s="54"/>
      <c r="E202" s="55"/>
      <c r="F202" s="55"/>
      <c r="G202" s="55"/>
      <c r="H202" s="54"/>
      <c r="I202" s="55"/>
      <c r="J202" s="59"/>
      <c r="K202" s="54"/>
      <c r="L202" s="54"/>
      <c r="M202" s="60"/>
      <c r="N202" s="54"/>
      <c r="O202" s="55"/>
      <c r="P202" s="55"/>
      <c r="Q202" s="55"/>
      <c r="R202" s="55"/>
      <c r="S202" s="55"/>
      <c r="T202" s="55"/>
      <c r="U202" s="55"/>
      <c r="V202" s="54"/>
      <c r="W202" s="54"/>
      <c r="X202" s="54"/>
      <c r="Y202" s="67"/>
      <c r="Z202" s="67"/>
      <c r="AA202" s="67"/>
      <c r="AB202" s="55"/>
      <c r="AC202" s="54"/>
      <c r="AF202" s="68"/>
      <c r="AG202" s="73"/>
      <c r="AH202" s="74"/>
      <c r="AI202" s="75"/>
      <c r="AJ202" s="75"/>
      <c r="AK202" s="75"/>
      <c r="AL202" s="75"/>
      <c r="AM202" s="75"/>
      <c r="AN202" s="75"/>
      <c r="AO202" s="75"/>
      <c r="AP202" s="75"/>
      <c r="AQ202" s="75"/>
      <c r="AR202" s="77"/>
      <c r="AT202" s="75"/>
      <c r="AU202" s="78"/>
      <c r="AW202" s="36"/>
    </row>
    <row r="203" s="44" customFormat="1" ht="37" customHeight="1" spans="1:49">
      <c r="A203" s="53"/>
      <c r="B203" s="54"/>
      <c r="C203" s="55"/>
      <c r="D203" s="54"/>
      <c r="E203" s="55"/>
      <c r="F203" s="55"/>
      <c r="G203" s="55"/>
      <c r="H203" s="54"/>
      <c r="I203" s="55"/>
      <c r="J203" s="59"/>
      <c r="K203" s="54"/>
      <c r="L203" s="54"/>
      <c r="M203" s="60"/>
      <c r="N203" s="54"/>
      <c r="O203" s="55"/>
      <c r="P203" s="55"/>
      <c r="Q203" s="55"/>
      <c r="R203" s="55"/>
      <c r="S203" s="55"/>
      <c r="T203" s="55"/>
      <c r="U203" s="55"/>
      <c r="V203" s="54"/>
      <c r="W203" s="54"/>
      <c r="X203" s="54"/>
      <c r="Y203" s="67"/>
      <c r="Z203" s="67"/>
      <c r="AA203" s="67"/>
      <c r="AB203" s="55"/>
      <c r="AC203" s="54"/>
      <c r="AF203" s="68"/>
      <c r="AG203" s="73"/>
      <c r="AH203" s="74"/>
      <c r="AI203" s="75"/>
      <c r="AJ203" s="75"/>
      <c r="AK203" s="75"/>
      <c r="AL203" s="75"/>
      <c r="AM203" s="75"/>
      <c r="AN203" s="75"/>
      <c r="AO203" s="75"/>
      <c r="AP203" s="75"/>
      <c r="AQ203" s="75"/>
      <c r="AR203" s="77"/>
      <c r="AT203" s="75"/>
      <c r="AU203" s="78"/>
      <c r="AW203" s="36"/>
    </row>
    <row r="204" s="44" customFormat="1" ht="37" customHeight="1" spans="1:49">
      <c r="A204" s="53"/>
      <c r="B204" s="54"/>
      <c r="C204" s="55"/>
      <c r="D204" s="54"/>
      <c r="E204" s="55"/>
      <c r="F204" s="55"/>
      <c r="G204" s="55"/>
      <c r="H204" s="54"/>
      <c r="I204" s="55"/>
      <c r="J204" s="59"/>
      <c r="K204" s="54"/>
      <c r="L204" s="54"/>
      <c r="M204" s="60"/>
      <c r="N204" s="54"/>
      <c r="O204" s="55"/>
      <c r="P204" s="55"/>
      <c r="Q204" s="55"/>
      <c r="R204" s="55"/>
      <c r="S204" s="55"/>
      <c r="T204" s="55"/>
      <c r="U204" s="55"/>
      <c r="V204" s="54"/>
      <c r="W204" s="54"/>
      <c r="X204" s="54"/>
      <c r="Y204" s="67"/>
      <c r="Z204" s="67"/>
      <c r="AA204" s="67"/>
      <c r="AB204" s="55"/>
      <c r="AC204" s="54"/>
      <c r="AF204" s="68"/>
      <c r="AG204" s="73"/>
      <c r="AH204" s="74"/>
      <c r="AI204" s="75"/>
      <c r="AJ204" s="75"/>
      <c r="AK204" s="75"/>
      <c r="AL204" s="75"/>
      <c r="AM204" s="75"/>
      <c r="AN204" s="75"/>
      <c r="AO204" s="75"/>
      <c r="AP204" s="75"/>
      <c r="AQ204" s="75"/>
      <c r="AR204" s="77"/>
      <c r="AT204" s="75"/>
      <c r="AU204" s="78"/>
      <c r="AW204" s="36"/>
    </row>
    <row r="205" s="44" customFormat="1" ht="37" customHeight="1" spans="1:49">
      <c r="A205" s="53"/>
      <c r="B205" s="54"/>
      <c r="C205" s="55"/>
      <c r="D205" s="54"/>
      <c r="E205" s="55"/>
      <c r="F205" s="55"/>
      <c r="G205" s="55"/>
      <c r="H205" s="54"/>
      <c r="I205" s="55"/>
      <c r="J205" s="59"/>
      <c r="K205" s="54"/>
      <c r="L205" s="54"/>
      <c r="M205" s="60"/>
      <c r="N205" s="54"/>
      <c r="O205" s="55"/>
      <c r="P205" s="55"/>
      <c r="Q205" s="55"/>
      <c r="R205" s="55"/>
      <c r="S205" s="55"/>
      <c r="T205" s="55"/>
      <c r="U205" s="55"/>
      <c r="V205" s="54"/>
      <c r="W205" s="54"/>
      <c r="X205" s="54"/>
      <c r="Y205" s="67"/>
      <c r="Z205" s="67"/>
      <c r="AA205" s="67"/>
      <c r="AB205" s="55"/>
      <c r="AC205" s="54"/>
      <c r="AF205" s="68"/>
      <c r="AG205" s="73"/>
      <c r="AH205" s="74"/>
      <c r="AI205" s="75"/>
      <c r="AJ205" s="75"/>
      <c r="AK205" s="75"/>
      <c r="AL205" s="75"/>
      <c r="AM205" s="75"/>
      <c r="AN205" s="75"/>
      <c r="AO205" s="75"/>
      <c r="AP205" s="75"/>
      <c r="AQ205" s="75"/>
      <c r="AR205" s="77"/>
      <c r="AT205" s="75"/>
      <c r="AU205" s="78"/>
      <c r="AW205" s="36"/>
    </row>
    <row r="206" s="44" customFormat="1" ht="37" customHeight="1" spans="1:49">
      <c r="A206" s="53"/>
      <c r="B206" s="54"/>
      <c r="C206" s="55"/>
      <c r="D206" s="54"/>
      <c r="E206" s="55"/>
      <c r="F206" s="55"/>
      <c r="G206" s="55"/>
      <c r="H206" s="54"/>
      <c r="I206" s="55"/>
      <c r="J206" s="59"/>
      <c r="K206" s="54"/>
      <c r="L206" s="54"/>
      <c r="M206" s="60"/>
      <c r="N206" s="54"/>
      <c r="O206" s="55"/>
      <c r="P206" s="55"/>
      <c r="Q206" s="55"/>
      <c r="R206" s="55"/>
      <c r="S206" s="55"/>
      <c r="T206" s="55"/>
      <c r="U206" s="55"/>
      <c r="V206" s="54"/>
      <c r="W206" s="54"/>
      <c r="X206" s="54"/>
      <c r="Y206" s="67"/>
      <c r="Z206" s="67"/>
      <c r="AA206" s="67"/>
      <c r="AB206" s="55"/>
      <c r="AC206" s="54"/>
      <c r="AF206" s="68"/>
      <c r="AG206" s="73"/>
      <c r="AH206" s="74"/>
      <c r="AI206" s="75"/>
      <c r="AJ206" s="75"/>
      <c r="AK206" s="75"/>
      <c r="AL206" s="75"/>
      <c r="AM206" s="75"/>
      <c r="AN206" s="75"/>
      <c r="AO206" s="75"/>
      <c r="AP206" s="75"/>
      <c r="AQ206" s="75"/>
      <c r="AR206" s="77"/>
      <c r="AT206" s="75"/>
      <c r="AU206" s="78"/>
      <c r="AW206" s="36"/>
    </row>
  </sheetData>
  <conditionalFormatting sqref="AT2">
    <cfRule type="cellIs" dxfId="0" priority="23" operator="equal">
      <formula>"自税"</formula>
    </cfRule>
    <cfRule type="cellIs" dxfId="0" priority="24" operator="equal">
      <formula>"递延"</formula>
    </cfRule>
    <cfRule type="containsText" dxfId="1" priority="25" operator="between" text="是">
      <formula>NOT(ISERROR(SEARCH("是",AT2)))</formula>
    </cfRule>
    <cfRule type="containsText" dxfId="2" priority="26" operator="between" text="是">
      <formula>NOT(ISERROR(SEARCH("是",AT2)))</formula>
    </cfRule>
  </conditionalFormatting>
  <conditionalFormatting sqref="AU2">
    <cfRule type="cellIs" dxfId="0" priority="19" operator="equal">
      <formula>"自税"</formula>
    </cfRule>
    <cfRule type="cellIs" dxfId="0" priority="20" operator="equal">
      <formula>"递延"</formula>
    </cfRule>
    <cfRule type="containsText" dxfId="1" priority="21" operator="between" text="是">
      <formula>NOT(ISERROR(SEARCH("是",AU2)))</formula>
    </cfRule>
    <cfRule type="containsText" dxfId="2" priority="22" operator="between" text="是">
      <formula>NOT(ISERROR(SEARCH("是",AU2)))</formula>
    </cfRule>
  </conditionalFormatting>
  <conditionalFormatting sqref="AT3">
    <cfRule type="cellIs" dxfId="0" priority="3" operator="equal">
      <formula>"自税"</formula>
    </cfRule>
    <cfRule type="cellIs" dxfId="0" priority="4" operator="equal">
      <formula>"递延"</formula>
    </cfRule>
    <cfRule type="containsText" dxfId="1" priority="5" operator="between" text="是">
      <formula>NOT(ISERROR(SEARCH("是",AT3)))</formula>
    </cfRule>
    <cfRule type="containsText" dxfId="2" priority="6" operator="between" text="是">
      <formula>NOT(ISERROR(SEARCH("是",AT3)))</formula>
    </cfRule>
  </conditionalFormatting>
  <conditionalFormatting sqref="AU3">
    <cfRule type="cellIs" dxfId="0" priority="15" operator="equal">
      <formula>"自税"</formula>
    </cfRule>
    <cfRule type="cellIs" dxfId="0" priority="16" operator="equal">
      <formula>"递延"</formula>
    </cfRule>
    <cfRule type="containsText" dxfId="1" priority="17" operator="between" text="是">
      <formula>NOT(ISERROR(SEARCH("是",AU3)))</formula>
    </cfRule>
    <cfRule type="containsText" dxfId="2" priority="18" operator="between" text="是">
      <formula>NOT(ISERROR(SEARCH("是",AU3)))</formula>
    </cfRule>
  </conditionalFormatting>
  <conditionalFormatting sqref="AT4">
    <cfRule type="cellIs" dxfId="0" priority="31" operator="equal">
      <formula>"自税"</formula>
    </cfRule>
    <cfRule type="cellIs" dxfId="0" priority="32" operator="equal">
      <formula>"递延"</formula>
    </cfRule>
    <cfRule type="containsText" dxfId="1" priority="33" operator="between" text="是">
      <formula>NOT(ISERROR(SEARCH("是",AT4)))</formula>
    </cfRule>
    <cfRule type="containsText" dxfId="2" priority="34" operator="between" text="是">
      <formula>NOT(ISERROR(SEARCH("是",AT4)))</formula>
    </cfRule>
  </conditionalFormatting>
  <conditionalFormatting sqref="AU4">
    <cfRule type="cellIs" dxfId="0" priority="27" operator="equal">
      <formula>"自税"</formula>
    </cfRule>
    <cfRule type="cellIs" dxfId="0" priority="28" operator="equal">
      <formula>"递延"</formula>
    </cfRule>
    <cfRule type="containsText" dxfId="1" priority="29" operator="between" text="是">
      <formula>NOT(ISERROR(SEARCH("是",AU4)))</formula>
    </cfRule>
    <cfRule type="containsText" dxfId="2" priority="30" operator="between" text="是">
      <formula>NOT(ISERROR(SEARCH("是",AU4)))</formula>
    </cfRule>
  </conditionalFormatting>
  <conditionalFormatting sqref="AS$1:AS$1048576">
    <cfRule type="cellIs" dxfId="3" priority="2" operator="equal">
      <formula>"自备"</formula>
    </cfRule>
  </conditionalFormatting>
  <conditionalFormatting sqref="AT$1:AT$1048576">
    <cfRule type="cellIs" dxfId="3" priority="1" operator="equal">
      <formula>"自税"</formula>
    </cfRule>
  </conditionalFormatting>
  <conditionalFormatting sqref="AT5:AT206">
    <cfRule type="cellIs" dxfId="0" priority="11" operator="equal">
      <formula>"自税"</formula>
    </cfRule>
    <cfRule type="cellIs" dxfId="0" priority="12" operator="equal">
      <formula>"递延"</formula>
    </cfRule>
    <cfRule type="containsText" dxfId="1" priority="13" operator="between" text="是">
      <formula>NOT(ISERROR(SEARCH("是",AT5)))</formula>
    </cfRule>
    <cfRule type="containsText" dxfId="2" priority="14" operator="between" text="是">
      <formula>NOT(ISERROR(SEARCH("是",AT5)))</formula>
    </cfRule>
  </conditionalFormatting>
  <conditionalFormatting sqref="AU5:AU206">
    <cfRule type="cellIs" dxfId="0" priority="7" operator="equal">
      <formula>"自税"</formula>
    </cfRule>
    <cfRule type="cellIs" dxfId="0" priority="8" operator="equal">
      <formula>"递延"</formula>
    </cfRule>
    <cfRule type="containsText" dxfId="1" priority="9" operator="between" text="是">
      <formula>NOT(ISERROR(SEARCH("是",AU5)))</formula>
    </cfRule>
    <cfRule type="containsText" dxfId="2" priority="10" operator="between" text="是">
      <formula>NOT(ISERROR(SEARCH("是",AU5)))</formula>
    </cfRule>
  </conditionalFormatting>
  <dataValidations count="8">
    <dataValidation type="list" allowBlank="1" showInputMessage="1" sqref="AH2 AH3 AH4 AH5 AH6 AH7 AH8 AH9 AH10 AH11 AH12 AH13 AH14 AH15 AH16 AH17 AH18 AH19 AH20 AH21 AH22 AH23 AH24 AH25 AH26 AH27 AH28 AH29 AH30 AH31 AH32 AH33 AH34 AH35 AH36 AH37 AH38 AH39 AH40 AH41 AH42 AH43 AH44 AH45 AH46 AH47 AH48 AH49 AH50 AH51 AH52 AH53 AH54 AH55 AH56 AH57 AH58 AH59 AH60 AH61 AH62 AH63 AH64 AH65 AH66 AH67 AH68 AH69 AH70 AH71 AH72 AH73 AH74 AH75 AH76 AH77 AH78 AH79 AH80 AH81 AH82 AH83 AH84 AH85 AH86 AH87 AH88 AH89 AH90 AH91 AH92 AH93 AH94 AH95 AH96 AH97 AH98 AH99 AH100 AH101 AH102 AH103 AH104 AH105 AH106 AH107 AH108 AH109 AH110 AH111 AH112 AH113 AH114 AH115 AH116 AH117 AH118 AH119 AH120 AH121 AH122 AH123 AH124 AH125 AH126 AH127 AH128 AH129 AH130 AH131 AH132 AH133 AH134 AH135 AH136 AH137 AH138 AH139 AH140 AH141 AH142 AH143 AH144 AH145 AH146 AH147 AH148 AH149 AH150 AH151 AH152 AH153 AH154 AH155 AH156 AH157 AH158 AH159 AH160 AH161 AH162 AH163 AH164 AH165 AH166 AH167 AH168 AH169 AH170 AH171 AH172 AH173 AH174 AH175 AH176 AH177 AH178 AH179 AH180 AH181 AH182 AH183 AH184 AH185 AH186 AH187 AH188 AH189 AH190 AH191 AH192 AH193 AH194 AH195 AH196 AH197 AH198 AH199 AH200 AH201 AH202 AH203 AH204 AH205 AH206">
      <formula1>IF(AG2="私人地址",_INTERNAL_DEFINED_NAME.00000d,INDIRECT(AG2))</formula1>
    </dataValidation>
    <dataValidation type="list" allowBlank="1" showInputMessage="1" showErrorMessage="1" sqref="J2:J206">
      <formula1>"无品牌,境内自主品牌,境内收购品牌,境外品牌（贴牌生产）,境外品牌（其他）"</formula1>
    </dataValidation>
    <dataValidation type="list" allowBlank="1" showInputMessage="1" showErrorMessage="1" sqref="M2:M206">
      <formula1>"普货,带磁,带电,商检,纺织品,带磁带电"</formula1>
    </dataValidation>
    <dataValidation type="list" allowBlank="1" showInputMessage="1" showErrorMessage="1" sqref="U2:U206">
      <formula1>"USD,GBP,EUR"</formula1>
    </dataValidation>
    <dataValidation type="list" allowBlank="1" showInputMessage="1" showErrorMessage="1" sqref="AG2:AG206">
      <formula1>新版仓库编码!$B$2:$B$629</formula1>
    </dataValidation>
    <dataValidation type="list" allowBlank="1" showInputMessage="1" showErrorMessage="1" sqref="AR2:AR206">
      <formula1>指定路线!$B$2:$B$206</formula1>
    </dataValidation>
    <dataValidation type="list" allowBlank="1" showInputMessage="1" showErrorMessage="1" sqref="AS1:AS206">
      <formula1>"自备,买单"</formula1>
    </dataValidation>
    <dataValidation type="list" allowBlank="1" showInputMessage="1" showErrorMessage="1" sqref="AU2:AU206">
      <formula1>"递延,不递延"</formula1>
    </dataValidation>
  </dataValidations>
  <pageMargins left="0.75" right="0.75" top="1" bottom="1" header="0.5" footer="0.5"/>
  <headerFooter/>
  <ignoredErrors>
    <ignoredError sqref="AS1:AT1" listDataValidation="1"/>
  </ignoredErrors>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60"/>
  <sheetViews>
    <sheetView zoomScale="85" zoomScaleNormal="85" workbookViewId="0">
      <pane xSplit="1" ySplit="2" topLeftCell="B3" activePane="bottomRight" state="frozen"/>
      <selection/>
      <selection pane="topRight"/>
      <selection pane="bottomLeft"/>
      <selection pane="bottomRight" activeCell="A1" sqref="A1:F1"/>
    </sheetView>
  </sheetViews>
  <sheetFormatPr defaultColWidth="9" defaultRowHeight="17.25" outlineLevelCol="6"/>
  <cols>
    <col min="1" max="1" width="27" style="12" customWidth="1"/>
    <col min="2" max="2" width="73.0916666666667" style="13" customWidth="1"/>
    <col min="3" max="3" width="43.5" style="13" customWidth="1"/>
    <col min="4" max="4" width="49.125" style="13" customWidth="1"/>
    <col min="5" max="5" width="61.125" style="13" customWidth="1"/>
    <col min="6" max="6" width="21.375" style="13" customWidth="1"/>
    <col min="7" max="7" width="9" style="13"/>
    <col min="8" max="14" width="9" style="10"/>
    <col min="15" max="15" width="12.625" style="10"/>
    <col min="16" max="26" width="9" style="10"/>
  </cols>
  <sheetData>
    <row r="1" s="9" customFormat="1" ht="19" customHeight="1" spans="1:7">
      <c r="A1" s="14" t="s">
        <v>53</v>
      </c>
      <c r="B1" s="14"/>
      <c r="C1" s="14"/>
      <c r="D1" s="14"/>
      <c r="E1" s="14"/>
      <c r="F1" s="14"/>
      <c r="G1" s="15"/>
    </row>
    <row r="2" s="9" customFormat="1" ht="21" customHeight="1" spans="1:7">
      <c r="A2" s="14" t="s">
        <v>54</v>
      </c>
      <c r="B2" s="14" t="s">
        <v>55</v>
      </c>
      <c r="C2" s="14" t="s">
        <v>56</v>
      </c>
      <c r="D2" s="14" t="s">
        <v>57</v>
      </c>
      <c r="E2" s="14" t="s">
        <v>58</v>
      </c>
      <c r="F2" s="14" t="s">
        <v>59</v>
      </c>
      <c r="G2" s="15"/>
    </row>
    <row r="3" s="10" customFormat="1" ht="21" customHeight="1" spans="1:7">
      <c r="A3" s="16" t="s">
        <v>60</v>
      </c>
      <c r="B3" s="17" t="s">
        <v>61</v>
      </c>
      <c r="C3" s="17">
        <v>1</v>
      </c>
      <c r="D3" s="17" t="s">
        <v>62</v>
      </c>
      <c r="E3" s="17" t="s">
        <v>63</v>
      </c>
      <c r="F3" s="18" t="s">
        <v>64</v>
      </c>
      <c r="G3" s="19"/>
    </row>
    <row r="4" s="11" customFormat="1" ht="82.5" spans="1:7">
      <c r="A4" s="20" t="s">
        <v>65</v>
      </c>
      <c r="B4" s="21" t="s">
        <v>66</v>
      </c>
      <c r="C4" s="21" t="s">
        <v>67</v>
      </c>
      <c r="D4" s="21" t="s">
        <v>68</v>
      </c>
      <c r="E4" s="21" t="s">
        <v>69</v>
      </c>
      <c r="F4" s="22" t="s">
        <v>70</v>
      </c>
      <c r="G4" s="23"/>
    </row>
    <row r="5" s="11" customFormat="1" ht="69" customHeight="1" spans="1:7">
      <c r="A5" s="24" t="s">
        <v>71</v>
      </c>
      <c r="B5" s="25" t="s">
        <v>72</v>
      </c>
      <c r="C5" s="25" t="s">
        <v>73</v>
      </c>
      <c r="D5" s="25" t="s">
        <v>74</v>
      </c>
      <c r="E5" s="25" t="s">
        <v>75</v>
      </c>
      <c r="F5" s="22" t="s">
        <v>70</v>
      </c>
      <c r="G5" s="23"/>
    </row>
    <row r="6" s="11" customFormat="1" ht="66" spans="1:7">
      <c r="A6" s="20" t="s">
        <v>76</v>
      </c>
      <c r="B6" s="21" t="s">
        <v>77</v>
      </c>
      <c r="C6" s="21" t="s">
        <v>78</v>
      </c>
      <c r="D6" s="21" t="s">
        <v>79</v>
      </c>
      <c r="E6" s="21" t="s">
        <v>80</v>
      </c>
      <c r="F6" s="22" t="s">
        <v>70</v>
      </c>
      <c r="G6" s="23"/>
    </row>
    <row r="7" s="11" customFormat="1" ht="82.5" spans="1:7">
      <c r="A7" s="26" t="s">
        <v>81</v>
      </c>
      <c r="B7" s="21" t="s">
        <v>82</v>
      </c>
      <c r="C7" s="21" t="s">
        <v>83</v>
      </c>
      <c r="D7" s="21" t="s">
        <v>84</v>
      </c>
      <c r="E7" s="21" t="s">
        <v>85</v>
      </c>
      <c r="F7" s="22" t="s">
        <v>70</v>
      </c>
      <c r="G7" s="23"/>
    </row>
    <row r="8" s="11" customFormat="1" ht="90" customHeight="1" spans="1:7">
      <c r="A8" s="24" t="s">
        <v>86</v>
      </c>
      <c r="B8" s="25" t="s">
        <v>87</v>
      </c>
      <c r="C8" s="25" t="s">
        <v>88</v>
      </c>
      <c r="D8" s="25" t="s">
        <v>89</v>
      </c>
      <c r="E8" s="25" t="s">
        <v>90</v>
      </c>
      <c r="F8" s="22" t="s">
        <v>70</v>
      </c>
      <c r="G8" s="23"/>
    </row>
    <row r="9" s="11" customFormat="1" ht="66" spans="1:7">
      <c r="A9" s="20" t="s">
        <v>91</v>
      </c>
      <c r="B9" s="21" t="s">
        <v>92</v>
      </c>
      <c r="C9" s="21" t="s">
        <v>93</v>
      </c>
      <c r="D9" s="21" t="s">
        <v>94</v>
      </c>
      <c r="E9" s="21" t="s">
        <v>95</v>
      </c>
      <c r="F9" s="22" t="s">
        <v>70</v>
      </c>
      <c r="G9" s="23"/>
    </row>
    <row r="10" s="11" customFormat="1" ht="66" spans="1:7">
      <c r="A10" s="20" t="s">
        <v>96</v>
      </c>
      <c r="B10" s="21" t="s">
        <v>97</v>
      </c>
      <c r="C10" s="21" t="s">
        <v>98</v>
      </c>
      <c r="D10" s="21" t="s">
        <v>99</v>
      </c>
      <c r="E10" s="21" t="s">
        <v>100</v>
      </c>
      <c r="F10" s="22" t="s">
        <v>70</v>
      </c>
      <c r="G10" s="23"/>
    </row>
    <row r="11" s="11" customFormat="1" ht="111" customHeight="1" spans="1:7">
      <c r="A11" s="24" t="s">
        <v>8</v>
      </c>
      <c r="B11" s="25" t="s">
        <v>101</v>
      </c>
      <c r="C11" s="25" t="s">
        <v>102</v>
      </c>
      <c r="D11" s="25" t="s">
        <v>103</v>
      </c>
      <c r="E11" s="25" t="s">
        <v>104</v>
      </c>
      <c r="F11" s="22" t="s">
        <v>70</v>
      </c>
      <c r="G11" s="23"/>
    </row>
    <row r="12" s="11" customFormat="1" ht="99" spans="1:7">
      <c r="A12" s="24" t="s">
        <v>9</v>
      </c>
      <c r="B12" s="25" t="s">
        <v>105</v>
      </c>
      <c r="C12" s="25" t="s">
        <v>106</v>
      </c>
      <c r="D12" s="25" t="s">
        <v>107</v>
      </c>
      <c r="E12" s="25" t="s">
        <v>108</v>
      </c>
      <c r="F12" s="22" t="s">
        <v>70</v>
      </c>
      <c r="G12" s="23"/>
    </row>
    <row r="13" s="11" customFormat="1" ht="49.5" spans="1:7">
      <c r="A13" s="26" t="s">
        <v>10</v>
      </c>
      <c r="B13" s="21" t="s">
        <v>109</v>
      </c>
      <c r="C13" s="21" t="s">
        <v>110</v>
      </c>
      <c r="D13" s="21" t="s">
        <v>111</v>
      </c>
      <c r="E13" s="21" t="s">
        <v>112</v>
      </c>
      <c r="F13" s="22" t="s">
        <v>70</v>
      </c>
      <c r="G13" s="23"/>
    </row>
    <row r="14" s="11" customFormat="1" ht="49.5" spans="1:7">
      <c r="A14" s="20" t="s">
        <v>113</v>
      </c>
      <c r="B14" s="21" t="s">
        <v>114</v>
      </c>
      <c r="C14" s="21" t="s">
        <v>115</v>
      </c>
      <c r="D14" s="21" t="s">
        <v>116</v>
      </c>
      <c r="E14" s="21" t="s">
        <v>117</v>
      </c>
      <c r="F14" s="22" t="s">
        <v>70</v>
      </c>
      <c r="G14" s="23"/>
    </row>
    <row r="15" s="11" customFormat="1" ht="49.5" spans="1:7">
      <c r="A15" s="24" t="s">
        <v>12</v>
      </c>
      <c r="B15" s="25" t="s">
        <v>118</v>
      </c>
      <c r="C15" s="25" t="s">
        <v>119</v>
      </c>
      <c r="D15" s="25" t="s">
        <v>120</v>
      </c>
      <c r="E15" s="25" t="s">
        <v>121</v>
      </c>
      <c r="F15" s="22" t="s">
        <v>70</v>
      </c>
      <c r="G15" s="23"/>
    </row>
    <row r="16" s="11" customFormat="1" ht="21" spans="1:7">
      <c r="A16" s="20" t="s">
        <v>122</v>
      </c>
      <c r="B16" s="21" t="s">
        <v>123</v>
      </c>
      <c r="C16" s="21" t="s">
        <v>124</v>
      </c>
      <c r="D16" s="21" t="s">
        <v>125</v>
      </c>
      <c r="E16" s="21" t="s">
        <v>126</v>
      </c>
      <c r="F16" s="22" t="s">
        <v>70</v>
      </c>
      <c r="G16" s="23"/>
    </row>
    <row r="17" s="11" customFormat="1" ht="21" spans="1:7">
      <c r="A17" s="26" t="s">
        <v>127</v>
      </c>
      <c r="B17" s="21" t="s">
        <v>128</v>
      </c>
      <c r="C17" s="21" t="s">
        <v>129</v>
      </c>
      <c r="D17" s="21" t="s">
        <v>130</v>
      </c>
      <c r="E17" s="21" t="s">
        <v>131</v>
      </c>
      <c r="F17" s="22" t="s">
        <v>70</v>
      </c>
      <c r="G17" s="23"/>
    </row>
    <row r="18" s="11" customFormat="1" ht="33" spans="1:7">
      <c r="A18" s="26" t="s">
        <v>132</v>
      </c>
      <c r="B18" s="21" t="s">
        <v>133</v>
      </c>
      <c r="C18" s="21" t="s">
        <v>134</v>
      </c>
      <c r="D18" s="21" t="s">
        <v>135</v>
      </c>
      <c r="E18" s="21" t="s">
        <v>136</v>
      </c>
      <c r="F18" s="22" t="s">
        <v>70</v>
      </c>
      <c r="G18" s="23"/>
    </row>
    <row r="19" s="11" customFormat="1" ht="21" spans="1:7">
      <c r="A19" s="20" t="s">
        <v>137</v>
      </c>
      <c r="B19" s="21" t="s">
        <v>138</v>
      </c>
      <c r="C19" s="21" t="s">
        <v>139</v>
      </c>
      <c r="D19" s="21" t="s">
        <v>140</v>
      </c>
      <c r="E19" s="21" t="s">
        <v>141</v>
      </c>
      <c r="F19" s="22" t="s">
        <v>70</v>
      </c>
      <c r="G19" s="23"/>
    </row>
    <row r="20" s="11" customFormat="1" ht="33" spans="1:7">
      <c r="A20" s="20" t="s">
        <v>142</v>
      </c>
      <c r="B20" s="21" t="s">
        <v>143</v>
      </c>
      <c r="C20" s="21" t="s">
        <v>144</v>
      </c>
      <c r="D20" s="21" t="s">
        <v>145</v>
      </c>
      <c r="E20" s="21" t="s">
        <v>146</v>
      </c>
      <c r="F20" s="22" t="s">
        <v>70</v>
      </c>
      <c r="G20" s="23"/>
    </row>
    <row r="21" s="11" customFormat="1" ht="148.5" spans="1:7">
      <c r="A21" s="20" t="s">
        <v>147</v>
      </c>
      <c r="B21" s="27" t="s">
        <v>148</v>
      </c>
      <c r="C21" s="21" t="s">
        <v>149</v>
      </c>
      <c r="D21" s="21" t="s">
        <v>150</v>
      </c>
      <c r="E21" s="21" t="s">
        <v>151</v>
      </c>
      <c r="F21" s="22" t="s">
        <v>70</v>
      </c>
      <c r="G21" s="23"/>
    </row>
    <row r="22" s="11" customFormat="1" ht="33" spans="1:7">
      <c r="A22" s="20" t="s">
        <v>152</v>
      </c>
      <c r="B22" s="21" t="s">
        <v>153</v>
      </c>
      <c r="C22" s="21" t="s">
        <v>154</v>
      </c>
      <c r="D22" s="21" t="s">
        <v>155</v>
      </c>
      <c r="E22" s="21" t="s">
        <v>156</v>
      </c>
      <c r="F22" s="22" t="s">
        <v>70</v>
      </c>
      <c r="G22" s="23"/>
    </row>
    <row r="23" s="11" customFormat="1" ht="66" spans="1:7">
      <c r="A23" s="20" t="s">
        <v>157</v>
      </c>
      <c r="B23" s="21" t="s">
        <v>158</v>
      </c>
      <c r="C23" s="21" t="s">
        <v>159</v>
      </c>
      <c r="D23" s="21" t="s">
        <v>160</v>
      </c>
      <c r="E23" s="21" t="s">
        <v>161</v>
      </c>
      <c r="F23" s="22" t="s">
        <v>70</v>
      </c>
      <c r="G23" s="23"/>
    </row>
    <row r="24" s="11" customFormat="1" ht="21" spans="1:7">
      <c r="A24" s="26" t="s">
        <v>21</v>
      </c>
      <c r="B24" s="21" t="s">
        <v>162</v>
      </c>
      <c r="C24" s="21" t="s">
        <v>163</v>
      </c>
      <c r="D24" s="21" t="s">
        <v>164</v>
      </c>
      <c r="E24" s="21" t="s">
        <v>165</v>
      </c>
      <c r="F24" s="22" t="s">
        <v>70</v>
      </c>
      <c r="G24" s="23"/>
    </row>
    <row r="25" s="11" customFormat="1" ht="33" spans="1:7">
      <c r="A25" s="26" t="s">
        <v>22</v>
      </c>
      <c r="B25" s="21" t="s">
        <v>166</v>
      </c>
      <c r="C25" s="21" t="s">
        <v>167</v>
      </c>
      <c r="D25" s="21" t="s">
        <v>168</v>
      </c>
      <c r="E25" s="21" t="s">
        <v>169</v>
      </c>
      <c r="F25" s="22" t="s">
        <v>70</v>
      </c>
      <c r="G25" s="23"/>
    </row>
    <row r="26" s="11" customFormat="1" ht="49.5" spans="1:7">
      <c r="A26" s="26" t="s">
        <v>170</v>
      </c>
      <c r="B26" s="21" t="s">
        <v>171</v>
      </c>
      <c r="C26" s="21" t="s">
        <v>172</v>
      </c>
      <c r="D26" s="21" t="s">
        <v>173</v>
      </c>
      <c r="E26" s="21" t="s">
        <v>174</v>
      </c>
      <c r="F26" s="22" t="s">
        <v>70</v>
      </c>
      <c r="G26" s="23"/>
    </row>
    <row r="27" s="11" customFormat="1" ht="21" spans="1:7">
      <c r="A27" s="20" t="s">
        <v>175</v>
      </c>
      <c r="B27" s="21" t="s">
        <v>176</v>
      </c>
      <c r="C27" s="21" t="s">
        <v>177</v>
      </c>
      <c r="D27" s="21" t="s">
        <v>178</v>
      </c>
      <c r="E27" s="21" t="s">
        <v>179</v>
      </c>
      <c r="F27" s="22" t="s">
        <v>70</v>
      </c>
      <c r="G27" s="23"/>
    </row>
    <row r="28" s="11" customFormat="1" ht="21" spans="1:7">
      <c r="A28" s="20" t="s">
        <v>180</v>
      </c>
      <c r="B28" s="21" t="s">
        <v>181</v>
      </c>
      <c r="C28" s="21" t="s">
        <v>182</v>
      </c>
      <c r="D28" s="21" t="s">
        <v>183</v>
      </c>
      <c r="E28" s="21" t="s">
        <v>184</v>
      </c>
      <c r="F28" s="22" t="s">
        <v>70</v>
      </c>
      <c r="G28" s="23"/>
    </row>
    <row r="29" s="11" customFormat="1" ht="21" spans="1:7">
      <c r="A29" s="20" t="s">
        <v>185</v>
      </c>
      <c r="B29" s="21" t="s">
        <v>186</v>
      </c>
      <c r="C29" s="21" t="s">
        <v>187</v>
      </c>
      <c r="D29" s="21" t="s">
        <v>188</v>
      </c>
      <c r="E29" s="21" t="s">
        <v>189</v>
      </c>
      <c r="F29" s="22" t="s">
        <v>70</v>
      </c>
      <c r="G29" s="23"/>
    </row>
    <row r="30" s="11" customFormat="1" ht="49.5" spans="1:7">
      <c r="A30" s="20" t="s">
        <v>190</v>
      </c>
      <c r="B30" s="21" t="s">
        <v>191</v>
      </c>
      <c r="C30" s="21" t="s">
        <v>192</v>
      </c>
      <c r="D30" s="21" t="s">
        <v>193</v>
      </c>
      <c r="E30" s="21" t="s">
        <v>194</v>
      </c>
      <c r="F30" s="22" t="s">
        <v>70</v>
      </c>
      <c r="G30" s="23"/>
    </row>
    <row r="31" s="11" customFormat="1" ht="49.5" spans="1:7">
      <c r="A31" s="20" t="s">
        <v>195</v>
      </c>
      <c r="B31" s="27" t="s">
        <v>196</v>
      </c>
      <c r="C31" s="21" t="s">
        <v>197</v>
      </c>
      <c r="D31" s="21" t="s">
        <v>198</v>
      </c>
      <c r="E31" s="28" t="s">
        <v>199</v>
      </c>
      <c r="F31" s="22" t="s">
        <v>70</v>
      </c>
      <c r="G31" s="23"/>
    </row>
    <row r="32" ht="82.5" spans="1:6">
      <c r="A32" s="29" t="s">
        <v>29</v>
      </c>
      <c r="B32" s="21" t="s">
        <v>200</v>
      </c>
      <c r="C32" s="21" t="s">
        <v>201</v>
      </c>
      <c r="D32" s="30" t="s">
        <v>202</v>
      </c>
      <c r="E32" s="31" t="s">
        <v>203</v>
      </c>
      <c r="F32" s="18" t="s">
        <v>64</v>
      </c>
    </row>
    <row r="33" ht="33" spans="1:6">
      <c r="A33" s="32" t="s">
        <v>204</v>
      </c>
      <c r="B33" s="30" t="s">
        <v>205</v>
      </c>
      <c r="C33" s="30" t="s">
        <v>206</v>
      </c>
      <c r="D33" s="30" t="s">
        <v>207</v>
      </c>
      <c r="E33" s="33" t="s">
        <v>208</v>
      </c>
      <c r="F33" s="34" t="s">
        <v>209</v>
      </c>
    </row>
    <row r="34" ht="49.5" spans="1:6">
      <c r="A34" s="16" t="s">
        <v>31</v>
      </c>
      <c r="B34" s="21" t="s">
        <v>210</v>
      </c>
      <c r="C34" s="35">
        <v>46242.7627083333</v>
      </c>
      <c r="D34" s="21" t="s">
        <v>211</v>
      </c>
      <c r="E34" s="21" t="s">
        <v>212</v>
      </c>
      <c r="F34" s="18" t="s">
        <v>64</v>
      </c>
    </row>
    <row r="35" ht="115.5" spans="1:6">
      <c r="A35" s="16" t="s">
        <v>32</v>
      </c>
      <c r="B35" s="21" t="s">
        <v>213</v>
      </c>
      <c r="C35" s="21" t="s">
        <v>51</v>
      </c>
      <c r="D35" s="21" t="s">
        <v>214</v>
      </c>
      <c r="E35" s="21" t="s">
        <v>215</v>
      </c>
      <c r="F35" s="18" t="s">
        <v>64</v>
      </c>
    </row>
    <row r="36" ht="66" spans="1:7">
      <c r="A36" s="16" t="s">
        <v>33</v>
      </c>
      <c r="B36" s="21" t="s">
        <v>216</v>
      </c>
      <c r="C36" s="21" t="s">
        <v>217</v>
      </c>
      <c r="D36" s="21" t="s">
        <v>218</v>
      </c>
      <c r="E36" s="28" t="s">
        <v>219</v>
      </c>
      <c r="F36" s="34" t="s">
        <v>209</v>
      </c>
      <c r="G36" s="36"/>
    </row>
    <row r="37" ht="33" spans="1:6">
      <c r="A37" s="16" t="s">
        <v>34</v>
      </c>
      <c r="B37" s="21" t="s">
        <v>220</v>
      </c>
      <c r="C37" s="17" t="s">
        <v>221</v>
      </c>
      <c r="D37" s="17" t="s">
        <v>222</v>
      </c>
      <c r="E37" s="17" t="s">
        <v>223</v>
      </c>
      <c r="F37" s="18" t="s">
        <v>64</v>
      </c>
    </row>
    <row r="38" ht="49.5" spans="1:6">
      <c r="A38" s="16" t="s">
        <v>35</v>
      </c>
      <c r="B38" s="21" t="s">
        <v>224</v>
      </c>
      <c r="C38" s="21" t="s">
        <v>225</v>
      </c>
      <c r="D38" s="21" t="s">
        <v>226</v>
      </c>
      <c r="E38" s="28" t="s">
        <v>227</v>
      </c>
      <c r="F38" s="34" t="s">
        <v>209</v>
      </c>
    </row>
    <row r="39" ht="33" spans="1:6">
      <c r="A39" s="16" t="s">
        <v>36</v>
      </c>
      <c r="B39" s="21" t="s">
        <v>228</v>
      </c>
      <c r="C39" s="17">
        <v>90210</v>
      </c>
      <c r="D39" s="17" t="s">
        <v>229</v>
      </c>
      <c r="E39" s="17" t="s">
        <v>230</v>
      </c>
      <c r="F39" s="18" t="s">
        <v>64</v>
      </c>
    </row>
    <row r="40" ht="33" spans="1:6">
      <c r="A40" s="29" t="s">
        <v>37</v>
      </c>
      <c r="B40" s="21" t="s">
        <v>231</v>
      </c>
      <c r="C40" s="17" t="s">
        <v>232</v>
      </c>
      <c r="D40" s="17" t="s">
        <v>233</v>
      </c>
      <c r="E40" s="17" t="s">
        <v>234</v>
      </c>
      <c r="F40" s="18" t="s">
        <v>64</v>
      </c>
    </row>
    <row r="41" ht="33" spans="1:6">
      <c r="A41" s="16" t="s">
        <v>235</v>
      </c>
      <c r="B41" s="21" t="s">
        <v>236</v>
      </c>
      <c r="C41" s="17" t="s">
        <v>237</v>
      </c>
      <c r="D41" s="17" t="s">
        <v>238</v>
      </c>
      <c r="E41" s="17" t="s">
        <v>239</v>
      </c>
      <c r="F41" s="18" t="s">
        <v>64</v>
      </c>
    </row>
    <row r="42" ht="21" spans="1:6">
      <c r="A42" s="29" t="s">
        <v>39</v>
      </c>
      <c r="B42" s="21" t="s">
        <v>240</v>
      </c>
      <c r="C42" s="17" t="s">
        <v>241</v>
      </c>
      <c r="D42" s="17" t="s">
        <v>242</v>
      </c>
      <c r="E42" s="17" t="s">
        <v>243</v>
      </c>
      <c r="F42" s="18" t="s">
        <v>64</v>
      </c>
    </row>
    <row r="43" ht="33" spans="1:6">
      <c r="A43" s="16" t="s">
        <v>244</v>
      </c>
      <c r="B43" s="21" t="s">
        <v>245</v>
      </c>
      <c r="C43" s="17" t="s">
        <v>246</v>
      </c>
      <c r="D43" s="17" t="s">
        <v>247</v>
      </c>
      <c r="E43" s="17" t="s">
        <v>248</v>
      </c>
      <c r="F43" s="18" t="s">
        <v>64</v>
      </c>
    </row>
    <row r="44" ht="33" spans="1:6">
      <c r="A44" s="16" t="s">
        <v>249</v>
      </c>
      <c r="B44" s="21" t="s">
        <v>250</v>
      </c>
      <c r="C44" s="17" t="s">
        <v>251</v>
      </c>
      <c r="D44" s="17" t="s">
        <v>252</v>
      </c>
      <c r="E44" s="17" t="s">
        <v>253</v>
      </c>
      <c r="F44" s="18" t="s">
        <v>64</v>
      </c>
    </row>
    <row r="45" ht="54" spans="1:6">
      <c r="A45" s="29" t="s">
        <v>42</v>
      </c>
      <c r="B45" s="21" t="s">
        <v>254</v>
      </c>
      <c r="C45" s="37" t="s">
        <v>255</v>
      </c>
      <c r="D45" s="37" t="s">
        <v>256</v>
      </c>
      <c r="E45" s="17" t="s">
        <v>257</v>
      </c>
      <c r="F45" s="18" t="s">
        <v>64</v>
      </c>
    </row>
    <row r="46" ht="21" spans="1:6">
      <c r="A46" s="16" t="s">
        <v>43</v>
      </c>
      <c r="B46" s="17" t="s">
        <v>258</v>
      </c>
      <c r="C46" s="17" t="s">
        <v>259</v>
      </c>
      <c r="D46" s="17" t="s">
        <v>260</v>
      </c>
      <c r="E46" s="17" t="s">
        <v>261</v>
      </c>
      <c r="F46" s="18" t="s">
        <v>64</v>
      </c>
    </row>
    <row r="47" ht="33" spans="1:6">
      <c r="A47" s="16" t="s">
        <v>44</v>
      </c>
      <c r="B47" s="21" t="s">
        <v>262</v>
      </c>
      <c r="C47" s="17" t="s">
        <v>263</v>
      </c>
      <c r="D47" s="17" t="s">
        <v>264</v>
      </c>
      <c r="E47" s="17" t="s">
        <v>265</v>
      </c>
      <c r="F47" s="18" t="s">
        <v>64</v>
      </c>
    </row>
    <row r="48" ht="33" spans="1:6">
      <c r="A48" s="16" t="s">
        <v>45</v>
      </c>
      <c r="B48" s="17" t="s">
        <v>266</v>
      </c>
      <c r="C48" s="17" t="s">
        <v>267</v>
      </c>
      <c r="D48" s="17" t="s">
        <v>268</v>
      </c>
      <c r="E48" s="21" t="s">
        <v>269</v>
      </c>
      <c r="F48" s="18" t="s">
        <v>64</v>
      </c>
    </row>
    <row r="49" ht="21" spans="1:6">
      <c r="A49" s="29" t="s">
        <v>46</v>
      </c>
      <c r="B49" s="17" t="s">
        <v>270</v>
      </c>
      <c r="C49" s="17" t="s">
        <v>271</v>
      </c>
      <c r="D49" s="17"/>
      <c r="E49" s="17" t="s">
        <v>272</v>
      </c>
      <c r="F49" s="18" t="s">
        <v>64</v>
      </c>
    </row>
    <row r="50" ht="66" spans="1:6">
      <c r="A50" s="29" t="s">
        <v>47</v>
      </c>
      <c r="B50" s="21" t="s">
        <v>273</v>
      </c>
      <c r="C50" s="21" t="s">
        <v>274</v>
      </c>
      <c r="D50" s="21" t="s">
        <v>275</v>
      </c>
      <c r="E50" s="17" t="s">
        <v>276</v>
      </c>
      <c r="F50" s="18" t="s">
        <v>64</v>
      </c>
    </row>
    <row r="51" ht="82.5" spans="1:6">
      <c r="A51" s="29" t="s">
        <v>48</v>
      </c>
      <c r="B51" s="21" t="s">
        <v>277</v>
      </c>
      <c r="C51" s="21" t="s">
        <v>278</v>
      </c>
      <c r="D51" s="21" t="s">
        <v>279</v>
      </c>
      <c r="E51" s="21" t="s">
        <v>280</v>
      </c>
      <c r="F51" s="18" t="s">
        <v>64</v>
      </c>
    </row>
    <row r="52" s="10" customFormat="1" ht="59" customHeight="1" spans="1:7">
      <c r="A52" s="24" t="s">
        <v>281</v>
      </c>
      <c r="B52" s="38" t="s">
        <v>282</v>
      </c>
      <c r="C52" s="38"/>
      <c r="D52" s="38"/>
      <c r="E52" s="38"/>
      <c r="F52" s="38"/>
      <c r="G52" s="19"/>
    </row>
    <row r="53" s="10" customFormat="1" ht="64" customHeight="1" spans="1:7">
      <c r="A53" s="24" t="s">
        <v>283</v>
      </c>
      <c r="B53" s="38" t="s">
        <v>284</v>
      </c>
      <c r="C53" s="38"/>
      <c r="D53" s="38"/>
      <c r="E53" s="38"/>
      <c r="F53" s="38"/>
      <c r="G53" s="19"/>
    </row>
    <row r="54" ht="74" customHeight="1" spans="1:6">
      <c r="A54" s="39" t="s">
        <v>285</v>
      </c>
      <c r="B54" s="40" t="s">
        <v>286</v>
      </c>
      <c r="C54" s="40"/>
      <c r="D54" s="40"/>
      <c r="E54" s="40"/>
      <c r="F54" s="40"/>
    </row>
    <row r="55" spans="1:6">
      <c r="A55" s="41" t="s">
        <v>287</v>
      </c>
      <c r="B55" s="41"/>
      <c r="C55" s="41"/>
      <c r="D55" s="41"/>
      <c r="E55" s="41"/>
      <c r="F55" s="41"/>
    </row>
    <row r="56" spans="1:6">
      <c r="A56" s="41"/>
      <c r="B56" s="41"/>
      <c r="C56" s="41"/>
      <c r="D56" s="41"/>
      <c r="E56" s="41"/>
      <c r="F56" s="41"/>
    </row>
    <row r="57" spans="1:6">
      <c r="A57" s="41"/>
      <c r="B57" s="41"/>
      <c r="C57" s="41"/>
      <c r="D57" s="41"/>
      <c r="E57" s="41"/>
      <c r="F57" s="41"/>
    </row>
    <row r="58" spans="1:6">
      <c r="A58" s="41"/>
      <c r="B58" s="41"/>
      <c r="C58" s="41"/>
      <c r="D58" s="41"/>
      <c r="E58" s="41"/>
      <c r="F58" s="41"/>
    </row>
    <row r="59" spans="1:6">
      <c r="A59" s="41"/>
      <c r="B59" s="41"/>
      <c r="C59" s="41"/>
      <c r="D59" s="41"/>
      <c r="E59" s="41"/>
      <c r="F59" s="41"/>
    </row>
    <row r="60" spans="1:6">
      <c r="A60" s="42"/>
      <c r="B60" s="42"/>
      <c r="C60" s="42"/>
      <c r="D60" s="42"/>
      <c r="E60" s="42"/>
      <c r="F60" s="42"/>
    </row>
  </sheetData>
  <mergeCells count="5">
    <mergeCell ref="A1:F1"/>
    <mergeCell ref="B52:F52"/>
    <mergeCell ref="B53:F53"/>
    <mergeCell ref="B54:F54"/>
    <mergeCell ref="A55:F59"/>
  </mergeCells>
  <dataValidations count="1">
    <dataValidation type="list" allowBlank="1" showInputMessage="1" showErrorMessage="1" sqref="A47">
      <formula1>"自备,买单"</formula1>
    </dataValidation>
  </dataValidations>
  <hyperlinks>
    <hyperlink ref="E8" r:id="rId1" display="参考海关编码查询网址https://www.likecha.com/tools/hscode.html&#10;英国海关编码税率查询https://www.trade-tariff.service.gov.uk/find_commodity&#10;欧洲海关编码税率查询https://ec.europa.eu/taxation_customs/dds2/taric/taric_consultation.jsp?Lang=en&#10;美国海关编码税率查询https://hts.usitc.gov/" tooltip="http://202.127.48.145:8888/zscg/search/jsp/vBrandSearchIndex.jsp"/>
    <hyperlink ref="C31" r:id="rId2" display="1. 自税（美国站）：https://www.amazon.com/dp/B0BZ1234567&#10;2. 包税（无链接）：/" tooltip="https://www.amazon.com/dp/B0BZ1234567"/>
    <hyperlink ref="C45" r:id="rId3" display="1.info@ddd.de&#10;2.contact@example.com&#10;3.sales@procent.pl"/>
    <hyperlink ref="D45" r:id="rId4" display="1.info@ddd,de（逗号）&#10;2.INFO@DDD.DE（大写）&#10;3.info@ddd公司.de（中文字符）&#10;4.info@ddd（缺域名后缀）"/>
  </hyperlinks>
  <pageMargins left="0.75" right="0.75" top="1" bottom="1" header="0.5" footer="0.5"/>
  <headerFooter/>
  <ignoredErrors>
    <ignoredError sqref="A47" listDataValidation="1"/>
  </ignoredError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630"/>
  <sheetViews>
    <sheetView topLeftCell="A67" workbookViewId="0">
      <selection activeCell="A1" sqref="A1"/>
    </sheetView>
  </sheetViews>
  <sheetFormatPr defaultColWidth="9.16666666666667" defaultRowHeight="14.25"/>
  <cols>
    <col min="1" max="1" width="12.7833333333333" style="1" customWidth="1"/>
    <col min="2" max="2" width="8.325" style="4"/>
    <col min="3" max="3" width="11.5" style="5" customWidth="1"/>
    <col min="4" max="4" width="8.325" style="1"/>
    <col min="5" max="5" width="36.0666666666667" style="1" customWidth="1"/>
    <col min="6" max="6" width="9.63333333333333" style="1" customWidth="1"/>
    <col min="7" max="7" width="16.6333333333333" style="1" customWidth="1"/>
    <col min="8" max="8" width="17.5666666666667" style="1" customWidth="1"/>
    <col min="9" max="9" width="20.275" style="1" customWidth="1"/>
    <col min="10" max="10" width="29.35" style="1" customWidth="1"/>
    <col min="11" max="11" width="16.4916666666667" style="1" customWidth="1"/>
    <col min="12" max="12" width="12.7833333333333" style="1" customWidth="1"/>
  </cols>
  <sheetData>
    <row r="1" spans="1:12">
      <c r="A1" s="2" t="s">
        <v>288</v>
      </c>
      <c r="B1" s="6" t="s">
        <v>289</v>
      </c>
      <c r="C1" s="7" t="s">
        <v>290</v>
      </c>
      <c r="D1" s="2" t="s">
        <v>291</v>
      </c>
      <c r="E1" s="2" t="s">
        <v>292</v>
      </c>
      <c r="F1" s="2" t="s">
        <v>293</v>
      </c>
      <c r="G1" s="2" t="s">
        <v>294</v>
      </c>
      <c r="H1" s="2" t="s">
        <v>295</v>
      </c>
      <c r="I1" s="2" t="s">
        <v>296</v>
      </c>
      <c r="J1" s="2" t="s">
        <v>297</v>
      </c>
      <c r="K1" s="2" t="s">
        <v>298</v>
      </c>
      <c r="L1" s="2" t="s">
        <v>288</v>
      </c>
    </row>
    <row r="2" spans="1:12">
      <c r="A2" s="3" t="s">
        <v>221</v>
      </c>
      <c r="B2" s="8" t="s">
        <v>51</v>
      </c>
      <c r="C2" s="7" t="s">
        <v>52</v>
      </c>
      <c r="D2" s="3" t="s">
        <v>222</v>
      </c>
      <c r="E2" s="3" t="s">
        <v>299</v>
      </c>
      <c r="F2" s="3" t="s">
        <v>300</v>
      </c>
      <c r="G2" s="3" t="s">
        <v>301</v>
      </c>
      <c r="H2" s="3" t="s">
        <v>302</v>
      </c>
      <c r="I2" s="3" t="s">
        <v>303</v>
      </c>
      <c r="J2" s="3" t="s">
        <v>304</v>
      </c>
      <c r="K2" s="3" t="s">
        <v>305</v>
      </c>
      <c r="L2" s="3" t="s">
        <v>221</v>
      </c>
    </row>
    <row r="3" spans="1:12">
      <c r="A3" s="3" t="s">
        <v>221</v>
      </c>
      <c r="B3" s="8" t="s">
        <v>51</v>
      </c>
      <c r="C3" s="7" t="s">
        <v>306</v>
      </c>
      <c r="D3" s="3" t="s">
        <v>222</v>
      </c>
      <c r="E3" s="3" t="s">
        <v>307</v>
      </c>
      <c r="F3" s="3" t="s">
        <v>300</v>
      </c>
      <c r="G3" s="3" t="s">
        <v>308</v>
      </c>
      <c r="H3" s="3" t="s">
        <v>309</v>
      </c>
      <c r="I3" s="3" t="s">
        <v>310</v>
      </c>
      <c r="J3" s="3" t="s">
        <v>311</v>
      </c>
      <c r="K3" s="3" t="s">
        <v>305</v>
      </c>
      <c r="L3" s="3" t="s">
        <v>221</v>
      </c>
    </row>
    <row r="4" spans="1:12">
      <c r="A4" s="3" t="s">
        <v>221</v>
      </c>
      <c r="B4" s="8" t="s">
        <v>51</v>
      </c>
      <c r="C4" s="7" t="s">
        <v>312</v>
      </c>
      <c r="D4" s="3" t="s">
        <v>222</v>
      </c>
      <c r="E4" s="3" t="s">
        <v>313</v>
      </c>
      <c r="F4" s="3" t="s">
        <v>300</v>
      </c>
      <c r="G4" s="3" t="s">
        <v>301</v>
      </c>
      <c r="H4" s="3" t="s">
        <v>314</v>
      </c>
      <c r="I4" s="3" t="s">
        <v>315</v>
      </c>
      <c r="J4" s="3" t="s">
        <v>316</v>
      </c>
      <c r="K4" s="3" t="s">
        <v>305</v>
      </c>
      <c r="L4" s="3" t="s">
        <v>221</v>
      </c>
    </row>
    <row r="5" spans="1:12">
      <c r="A5" s="3" t="s">
        <v>221</v>
      </c>
      <c r="B5" s="8" t="s">
        <v>51</v>
      </c>
      <c r="C5" s="7" t="s">
        <v>317</v>
      </c>
      <c r="D5" s="3" t="s">
        <v>222</v>
      </c>
      <c r="E5" s="3" t="s">
        <v>318</v>
      </c>
      <c r="F5" s="3" t="s">
        <v>300</v>
      </c>
      <c r="G5" s="3" t="s">
        <v>301</v>
      </c>
      <c r="H5" s="3" t="s">
        <v>302</v>
      </c>
      <c r="I5" s="3" t="s">
        <v>319</v>
      </c>
      <c r="J5" s="3" t="s">
        <v>320</v>
      </c>
      <c r="K5" s="3" t="s">
        <v>305</v>
      </c>
      <c r="L5" s="3" t="s">
        <v>221</v>
      </c>
    </row>
    <row r="6" spans="1:12">
      <c r="A6" s="3" t="s">
        <v>221</v>
      </c>
      <c r="B6" s="8" t="s">
        <v>51</v>
      </c>
      <c r="C6" s="7" t="s">
        <v>321</v>
      </c>
      <c r="D6" s="3" t="s">
        <v>222</v>
      </c>
      <c r="E6" s="3" t="s">
        <v>322</v>
      </c>
      <c r="F6" s="3" t="s">
        <v>323</v>
      </c>
      <c r="G6" s="3" t="s">
        <v>324</v>
      </c>
      <c r="H6" s="3" t="s">
        <v>325</v>
      </c>
      <c r="I6" s="3" t="s">
        <v>326</v>
      </c>
      <c r="J6" s="3" t="s">
        <v>327</v>
      </c>
      <c r="K6" s="3" t="s">
        <v>305</v>
      </c>
      <c r="L6" s="3" t="s">
        <v>221</v>
      </c>
    </row>
    <row r="7" spans="1:12">
      <c r="A7" s="3" t="s">
        <v>221</v>
      </c>
      <c r="B7" s="8" t="s">
        <v>51</v>
      </c>
      <c r="C7" s="7" t="s">
        <v>328</v>
      </c>
      <c r="D7" s="3" t="s">
        <v>222</v>
      </c>
      <c r="E7" s="3" t="s">
        <v>329</v>
      </c>
      <c r="F7" s="3" t="s">
        <v>323</v>
      </c>
      <c r="G7" s="3" t="s">
        <v>330</v>
      </c>
      <c r="H7" s="3" t="s">
        <v>331</v>
      </c>
      <c r="I7" s="3" t="s">
        <v>332</v>
      </c>
      <c r="J7" s="3" t="s">
        <v>333</v>
      </c>
      <c r="K7" s="3" t="s">
        <v>305</v>
      </c>
      <c r="L7" s="3" t="s">
        <v>221</v>
      </c>
    </row>
    <row r="8" spans="1:12">
      <c r="A8" s="3" t="s">
        <v>221</v>
      </c>
      <c r="B8" s="8" t="s">
        <v>51</v>
      </c>
      <c r="C8" s="7" t="s">
        <v>334</v>
      </c>
      <c r="D8" s="3" t="s">
        <v>222</v>
      </c>
      <c r="E8" s="3" t="s">
        <v>335</v>
      </c>
      <c r="F8" s="3" t="s">
        <v>323</v>
      </c>
      <c r="G8" s="3" t="s">
        <v>330</v>
      </c>
      <c r="H8" s="3" t="s">
        <v>331</v>
      </c>
      <c r="I8" s="3" t="s">
        <v>336</v>
      </c>
      <c r="J8" s="3" t="s">
        <v>337</v>
      </c>
      <c r="K8" s="3" t="s">
        <v>305</v>
      </c>
      <c r="L8" s="3" t="s">
        <v>221</v>
      </c>
    </row>
    <row r="9" spans="1:12">
      <c r="A9" s="3" t="s">
        <v>221</v>
      </c>
      <c r="B9" s="8" t="s">
        <v>51</v>
      </c>
      <c r="C9" s="7" t="s">
        <v>338</v>
      </c>
      <c r="D9" s="3" t="s">
        <v>222</v>
      </c>
      <c r="E9" s="3" t="s">
        <v>339</v>
      </c>
      <c r="F9" s="3" t="s">
        <v>323</v>
      </c>
      <c r="G9" s="3" t="s">
        <v>340</v>
      </c>
      <c r="H9" s="3" t="s">
        <v>341</v>
      </c>
      <c r="I9" s="3" t="s">
        <v>342</v>
      </c>
      <c r="J9" s="3" t="s">
        <v>343</v>
      </c>
      <c r="K9" s="3" t="s">
        <v>305</v>
      </c>
      <c r="L9" s="3" t="s">
        <v>221</v>
      </c>
    </row>
    <row r="10" spans="1:12">
      <c r="A10" s="3" t="s">
        <v>221</v>
      </c>
      <c r="B10" s="8" t="s">
        <v>51</v>
      </c>
      <c r="C10" s="7" t="s">
        <v>344</v>
      </c>
      <c r="D10" s="3" t="s">
        <v>222</v>
      </c>
      <c r="E10" s="3" t="s">
        <v>345</v>
      </c>
      <c r="F10" s="3" t="s">
        <v>323</v>
      </c>
      <c r="G10" s="3" t="s">
        <v>346</v>
      </c>
      <c r="H10" s="3" t="s">
        <v>347</v>
      </c>
      <c r="I10" s="3" t="s">
        <v>348</v>
      </c>
      <c r="J10" s="3" t="s">
        <v>349</v>
      </c>
      <c r="K10" s="3" t="s">
        <v>305</v>
      </c>
      <c r="L10" s="3" t="s">
        <v>221</v>
      </c>
    </row>
    <row r="11" spans="1:12">
      <c r="A11" s="3" t="s">
        <v>221</v>
      </c>
      <c r="B11" s="8" t="s">
        <v>51</v>
      </c>
      <c r="C11" s="7" t="s">
        <v>350</v>
      </c>
      <c r="D11" s="3" t="s">
        <v>222</v>
      </c>
      <c r="E11" s="3" t="s">
        <v>351</v>
      </c>
      <c r="F11" s="3" t="s">
        <v>323</v>
      </c>
      <c r="G11" s="3" t="s">
        <v>352</v>
      </c>
      <c r="H11" s="3" t="s">
        <v>353</v>
      </c>
      <c r="I11" s="3" t="s">
        <v>354</v>
      </c>
      <c r="J11" s="3" t="s">
        <v>355</v>
      </c>
      <c r="K11" s="3" t="s">
        <v>305</v>
      </c>
      <c r="L11" s="3" t="s">
        <v>221</v>
      </c>
    </row>
    <row r="12" spans="1:12">
      <c r="A12" s="3" t="s">
        <v>221</v>
      </c>
      <c r="B12" s="8" t="s">
        <v>51</v>
      </c>
      <c r="C12" s="7" t="s">
        <v>356</v>
      </c>
      <c r="D12" s="3" t="s">
        <v>222</v>
      </c>
      <c r="E12" s="3" t="s">
        <v>357</v>
      </c>
      <c r="F12" s="3" t="s">
        <v>323</v>
      </c>
      <c r="G12" s="3" t="s">
        <v>358</v>
      </c>
      <c r="H12" s="3" t="s">
        <v>359</v>
      </c>
      <c r="I12" s="3" t="s">
        <v>360</v>
      </c>
      <c r="J12" s="3" t="s">
        <v>361</v>
      </c>
      <c r="K12" s="3" t="s">
        <v>305</v>
      </c>
      <c r="L12" s="3" t="s">
        <v>221</v>
      </c>
    </row>
    <row r="13" spans="1:12">
      <c r="A13" s="3" t="s">
        <v>221</v>
      </c>
      <c r="B13" s="8" t="s">
        <v>51</v>
      </c>
      <c r="C13" s="7" t="s">
        <v>362</v>
      </c>
      <c r="D13" s="3" t="s">
        <v>222</v>
      </c>
      <c r="E13" s="3" t="s">
        <v>363</v>
      </c>
      <c r="F13" s="3" t="s">
        <v>323</v>
      </c>
      <c r="G13" s="3" t="s">
        <v>340</v>
      </c>
      <c r="H13" s="3" t="s">
        <v>364</v>
      </c>
      <c r="I13" s="3" t="s">
        <v>365</v>
      </c>
      <c r="J13" s="3" t="s">
        <v>366</v>
      </c>
      <c r="K13" s="3" t="s">
        <v>305</v>
      </c>
      <c r="L13" s="3" t="s">
        <v>221</v>
      </c>
    </row>
    <row r="14" spans="1:12">
      <c r="A14" s="3" t="s">
        <v>221</v>
      </c>
      <c r="B14" s="8" t="s">
        <v>51</v>
      </c>
      <c r="C14" s="7" t="s">
        <v>367</v>
      </c>
      <c r="D14" s="3" t="s">
        <v>222</v>
      </c>
      <c r="E14" s="3" t="s">
        <v>368</v>
      </c>
      <c r="F14" s="3" t="s">
        <v>323</v>
      </c>
      <c r="G14" s="3" t="s">
        <v>358</v>
      </c>
      <c r="H14" s="3" t="s">
        <v>369</v>
      </c>
      <c r="I14" s="3" t="s">
        <v>370</v>
      </c>
      <c r="J14" s="3" t="s">
        <v>371</v>
      </c>
      <c r="K14" s="3" t="s">
        <v>305</v>
      </c>
      <c r="L14" s="3" t="s">
        <v>221</v>
      </c>
    </row>
    <row r="15" spans="1:12">
      <c r="A15" s="3" t="s">
        <v>221</v>
      </c>
      <c r="B15" s="8" t="s">
        <v>51</v>
      </c>
      <c r="C15" s="7" t="s">
        <v>372</v>
      </c>
      <c r="D15" s="3" t="s">
        <v>222</v>
      </c>
      <c r="E15" s="3" t="s">
        <v>373</v>
      </c>
      <c r="F15" s="3" t="s">
        <v>323</v>
      </c>
      <c r="G15" s="3" t="s">
        <v>374</v>
      </c>
      <c r="H15" s="3" t="s">
        <v>375</v>
      </c>
      <c r="I15" s="3" t="s">
        <v>376</v>
      </c>
      <c r="J15" s="3" t="s">
        <v>377</v>
      </c>
      <c r="K15" s="3" t="s">
        <v>305</v>
      </c>
      <c r="L15" s="3" t="s">
        <v>221</v>
      </c>
    </row>
    <row r="16" spans="1:12">
      <c r="A16" s="3" t="s">
        <v>221</v>
      </c>
      <c r="B16" s="8" t="s">
        <v>51</v>
      </c>
      <c r="C16" s="7" t="s">
        <v>378</v>
      </c>
      <c r="D16" s="3" t="s">
        <v>222</v>
      </c>
      <c r="E16" s="3" t="s">
        <v>379</v>
      </c>
      <c r="F16" s="3" t="s">
        <v>323</v>
      </c>
      <c r="G16" s="3" t="s">
        <v>352</v>
      </c>
      <c r="H16" s="3" t="s">
        <v>353</v>
      </c>
      <c r="I16" s="3" t="s">
        <v>380</v>
      </c>
      <c r="J16" s="3" t="s">
        <v>381</v>
      </c>
      <c r="K16" s="3" t="s">
        <v>305</v>
      </c>
      <c r="L16" s="3" t="s">
        <v>221</v>
      </c>
    </row>
    <row r="17" spans="1:12">
      <c r="A17" s="3" t="s">
        <v>221</v>
      </c>
      <c r="B17" s="8" t="s">
        <v>51</v>
      </c>
      <c r="C17" s="7" t="s">
        <v>382</v>
      </c>
      <c r="D17" s="3" t="s">
        <v>222</v>
      </c>
      <c r="E17" s="3" t="s">
        <v>383</v>
      </c>
      <c r="F17" s="3" t="s">
        <v>384</v>
      </c>
      <c r="G17" s="3" t="s">
        <v>385</v>
      </c>
      <c r="H17" s="3" t="s">
        <v>386</v>
      </c>
      <c r="I17" s="3" t="s">
        <v>387</v>
      </c>
      <c r="J17" s="3" t="s">
        <v>388</v>
      </c>
      <c r="K17" s="3" t="s">
        <v>305</v>
      </c>
      <c r="L17" s="3" t="s">
        <v>221</v>
      </c>
    </row>
    <row r="18" spans="1:12">
      <c r="A18" s="3" t="s">
        <v>221</v>
      </c>
      <c r="B18" s="8" t="s">
        <v>51</v>
      </c>
      <c r="C18" s="7" t="s">
        <v>389</v>
      </c>
      <c r="D18" s="3" t="s">
        <v>222</v>
      </c>
      <c r="E18" s="3" t="s">
        <v>390</v>
      </c>
      <c r="F18" s="3" t="s">
        <v>384</v>
      </c>
      <c r="G18" s="3" t="s">
        <v>391</v>
      </c>
      <c r="H18" s="3" t="s">
        <v>392</v>
      </c>
      <c r="I18" s="3" t="s">
        <v>393</v>
      </c>
      <c r="J18" s="3" t="s">
        <v>394</v>
      </c>
      <c r="K18" s="3" t="s">
        <v>305</v>
      </c>
      <c r="L18" s="3" t="s">
        <v>221</v>
      </c>
    </row>
    <row r="19" spans="1:12">
      <c r="A19" s="3" t="s">
        <v>221</v>
      </c>
      <c r="B19" s="8" t="s">
        <v>51</v>
      </c>
      <c r="C19" s="7" t="s">
        <v>395</v>
      </c>
      <c r="D19" s="3" t="s">
        <v>222</v>
      </c>
      <c r="E19" s="3" t="s">
        <v>396</v>
      </c>
      <c r="F19" s="3" t="s">
        <v>397</v>
      </c>
      <c r="G19" s="3" t="s">
        <v>398</v>
      </c>
      <c r="H19" s="3" t="s">
        <v>399</v>
      </c>
      <c r="I19" s="3" t="s">
        <v>400</v>
      </c>
      <c r="J19" s="3" t="s">
        <v>401</v>
      </c>
      <c r="K19" s="3" t="s">
        <v>305</v>
      </c>
      <c r="L19" s="3" t="s">
        <v>221</v>
      </c>
    </row>
    <row r="20" spans="1:12">
      <c r="A20" s="3" t="s">
        <v>221</v>
      </c>
      <c r="B20" s="8" t="s">
        <v>51</v>
      </c>
      <c r="C20" s="7" t="s">
        <v>402</v>
      </c>
      <c r="D20" s="3" t="s">
        <v>222</v>
      </c>
      <c r="E20" s="3" t="s">
        <v>403</v>
      </c>
      <c r="F20" s="3" t="s">
        <v>397</v>
      </c>
      <c r="G20" s="3" t="s">
        <v>404</v>
      </c>
      <c r="H20" s="3" t="s">
        <v>405</v>
      </c>
      <c r="I20" s="3" t="s">
        <v>406</v>
      </c>
      <c r="J20" s="3" t="s">
        <v>407</v>
      </c>
      <c r="K20" s="3" t="s">
        <v>305</v>
      </c>
      <c r="L20" s="3" t="s">
        <v>221</v>
      </c>
    </row>
    <row r="21" spans="1:12">
      <c r="A21" s="3" t="s">
        <v>221</v>
      </c>
      <c r="B21" s="8" t="s">
        <v>51</v>
      </c>
      <c r="C21" s="7" t="s">
        <v>408</v>
      </c>
      <c r="D21" s="3" t="s">
        <v>222</v>
      </c>
      <c r="E21" s="3" t="s">
        <v>409</v>
      </c>
      <c r="F21" s="3" t="s">
        <v>397</v>
      </c>
      <c r="G21" s="3" t="s">
        <v>410</v>
      </c>
      <c r="H21" s="3" t="s">
        <v>411</v>
      </c>
      <c r="I21" s="3" t="s">
        <v>412</v>
      </c>
      <c r="J21" s="3" t="s">
        <v>413</v>
      </c>
      <c r="K21" s="3" t="s">
        <v>305</v>
      </c>
      <c r="L21" s="3" t="s">
        <v>221</v>
      </c>
    </row>
    <row r="22" spans="1:12">
      <c r="A22" s="3" t="s">
        <v>221</v>
      </c>
      <c r="B22" s="8" t="s">
        <v>51</v>
      </c>
      <c r="C22" s="7" t="s">
        <v>414</v>
      </c>
      <c r="D22" s="3" t="s">
        <v>222</v>
      </c>
      <c r="E22" s="3" t="s">
        <v>415</v>
      </c>
      <c r="F22" s="3" t="s">
        <v>416</v>
      </c>
      <c r="G22" s="3" t="s">
        <v>417</v>
      </c>
      <c r="H22" s="3" t="s">
        <v>418</v>
      </c>
      <c r="I22" s="3" t="s">
        <v>419</v>
      </c>
      <c r="J22" s="3" t="s">
        <v>420</v>
      </c>
      <c r="K22" s="3" t="s">
        <v>305</v>
      </c>
      <c r="L22" s="3" t="s">
        <v>221</v>
      </c>
    </row>
    <row r="23" spans="1:12">
      <c r="A23" s="3" t="s">
        <v>221</v>
      </c>
      <c r="B23" s="8" t="s">
        <v>51</v>
      </c>
      <c r="C23" s="7" t="s">
        <v>421</v>
      </c>
      <c r="D23" s="3" t="s">
        <v>222</v>
      </c>
      <c r="E23" s="3" t="s">
        <v>422</v>
      </c>
      <c r="F23" s="3" t="s">
        <v>416</v>
      </c>
      <c r="G23" s="3" t="s">
        <v>423</v>
      </c>
      <c r="H23" s="3" t="s">
        <v>424</v>
      </c>
      <c r="I23" s="3" t="s">
        <v>425</v>
      </c>
      <c r="J23" s="3" t="s">
        <v>426</v>
      </c>
      <c r="K23" s="3" t="s">
        <v>305</v>
      </c>
      <c r="L23" s="3" t="s">
        <v>221</v>
      </c>
    </row>
    <row r="24" spans="1:12">
      <c r="A24" s="3" t="s">
        <v>221</v>
      </c>
      <c r="B24" s="8" t="s">
        <v>51</v>
      </c>
      <c r="C24" s="7" t="s">
        <v>427</v>
      </c>
      <c r="D24" s="3" t="s">
        <v>222</v>
      </c>
      <c r="E24" s="3" t="s">
        <v>428</v>
      </c>
      <c r="F24" s="3" t="s">
        <v>416</v>
      </c>
      <c r="G24" s="3" t="s">
        <v>423</v>
      </c>
      <c r="H24" s="3" t="s">
        <v>424</v>
      </c>
      <c r="I24" s="3" t="s">
        <v>429</v>
      </c>
      <c r="J24" s="3" t="s">
        <v>430</v>
      </c>
      <c r="K24" s="3" t="s">
        <v>305</v>
      </c>
      <c r="L24" s="3" t="s">
        <v>221</v>
      </c>
    </row>
    <row r="25" spans="1:12">
      <c r="A25" s="3" t="s">
        <v>221</v>
      </c>
      <c r="B25" s="8" t="s">
        <v>51</v>
      </c>
      <c r="C25" s="7" t="s">
        <v>431</v>
      </c>
      <c r="D25" s="3" t="s">
        <v>222</v>
      </c>
      <c r="E25" s="3" t="s">
        <v>432</v>
      </c>
      <c r="F25" s="3" t="s">
        <v>416</v>
      </c>
      <c r="G25" s="3" t="s">
        <v>433</v>
      </c>
      <c r="H25" s="3" t="s">
        <v>434</v>
      </c>
      <c r="I25" s="3" t="s">
        <v>435</v>
      </c>
      <c r="J25" s="3" t="s">
        <v>436</v>
      </c>
      <c r="K25" s="3" t="s">
        <v>305</v>
      </c>
      <c r="L25" s="3" t="s">
        <v>221</v>
      </c>
    </row>
    <row r="26" spans="1:12">
      <c r="A26" s="3" t="s">
        <v>221</v>
      </c>
      <c r="B26" s="8" t="s">
        <v>51</v>
      </c>
      <c r="C26" s="7" t="s">
        <v>437</v>
      </c>
      <c r="D26" s="3" t="s">
        <v>222</v>
      </c>
      <c r="E26" s="3" t="s">
        <v>438</v>
      </c>
      <c r="F26" s="3" t="s">
        <v>416</v>
      </c>
      <c r="G26" s="3" t="s">
        <v>423</v>
      </c>
      <c r="H26" s="3" t="s">
        <v>424</v>
      </c>
      <c r="I26" s="3" t="s">
        <v>439</v>
      </c>
      <c r="J26" s="3" t="s">
        <v>440</v>
      </c>
      <c r="K26" s="3" t="s">
        <v>305</v>
      </c>
      <c r="L26" s="3" t="s">
        <v>221</v>
      </c>
    </row>
    <row r="27" spans="1:12">
      <c r="A27" s="3" t="s">
        <v>221</v>
      </c>
      <c r="B27" s="8" t="s">
        <v>51</v>
      </c>
      <c r="C27" s="7" t="s">
        <v>441</v>
      </c>
      <c r="D27" s="3" t="s">
        <v>222</v>
      </c>
      <c r="E27" s="3" t="s">
        <v>442</v>
      </c>
      <c r="F27" s="3" t="s">
        <v>416</v>
      </c>
      <c r="G27" s="3" t="s">
        <v>443</v>
      </c>
      <c r="H27" s="3" t="s">
        <v>444</v>
      </c>
      <c r="I27" s="3" t="s">
        <v>445</v>
      </c>
      <c r="J27" s="3" t="s">
        <v>446</v>
      </c>
      <c r="K27" s="3" t="s">
        <v>305</v>
      </c>
      <c r="L27" s="3" t="s">
        <v>221</v>
      </c>
    </row>
    <row r="28" spans="1:12">
      <c r="A28" s="3" t="s">
        <v>221</v>
      </c>
      <c r="B28" s="8" t="s">
        <v>51</v>
      </c>
      <c r="C28" s="7" t="s">
        <v>447</v>
      </c>
      <c r="D28" s="3" t="s">
        <v>222</v>
      </c>
      <c r="E28" s="3" t="s">
        <v>448</v>
      </c>
      <c r="F28" s="3" t="s">
        <v>449</v>
      </c>
      <c r="G28" s="3" t="s">
        <v>450</v>
      </c>
      <c r="H28" s="3" t="s">
        <v>451</v>
      </c>
      <c r="I28" s="3" t="s">
        <v>452</v>
      </c>
      <c r="J28" s="3" t="s">
        <v>453</v>
      </c>
      <c r="K28" s="3" t="s">
        <v>305</v>
      </c>
      <c r="L28" s="3" t="s">
        <v>221</v>
      </c>
    </row>
    <row r="29" spans="1:12">
      <c r="A29" s="3" t="s">
        <v>221</v>
      </c>
      <c r="B29" s="8" t="s">
        <v>51</v>
      </c>
      <c r="C29" s="7" t="s">
        <v>454</v>
      </c>
      <c r="D29" s="3" t="s">
        <v>222</v>
      </c>
      <c r="E29" s="3" t="s">
        <v>455</v>
      </c>
      <c r="F29" s="3" t="s">
        <v>449</v>
      </c>
      <c r="G29" s="3" t="s">
        <v>456</v>
      </c>
      <c r="H29" s="3" t="s">
        <v>457</v>
      </c>
      <c r="I29" s="3" t="s">
        <v>458</v>
      </c>
      <c r="J29" s="3" t="s">
        <v>459</v>
      </c>
      <c r="K29" s="3" t="s">
        <v>305</v>
      </c>
      <c r="L29" s="3" t="s">
        <v>221</v>
      </c>
    </row>
    <row r="30" spans="1:12">
      <c r="A30" s="3" t="s">
        <v>221</v>
      </c>
      <c r="B30" s="8" t="s">
        <v>51</v>
      </c>
      <c r="C30" s="7" t="s">
        <v>460</v>
      </c>
      <c r="D30" s="3" t="s">
        <v>222</v>
      </c>
      <c r="E30" s="3" t="s">
        <v>461</v>
      </c>
      <c r="F30" s="3" t="s">
        <v>462</v>
      </c>
      <c r="G30" s="3" t="s">
        <v>463</v>
      </c>
      <c r="H30" s="3" t="s">
        <v>464</v>
      </c>
      <c r="I30" s="3" t="s">
        <v>465</v>
      </c>
      <c r="J30" s="3" t="s">
        <v>466</v>
      </c>
      <c r="K30" s="3" t="s">
        <v>305</v>
      </c>
      <c r="L30" s="3" t="s">
        <v>221</v>
      </c>
    </row>
    <row r="31" spans="1:12">
      <c r="A31" s="3" t="s">
        <v>221</v>
      </c>
      <c r="B31" s="8" t="s">
        <v>51</v>
      </c>
      <c r="C31" s="7" t="s">
        <v>467</v>
      </c>
      <c r="D31" s="3" t="s">
        <v>222</v>
      </c>
      <c r="E31" s="3" t="s">
        <v>468</v>
      </c>
      <c r="F31" s="3" t="s">
        <v>462</v>
      </c>
      <c r="G31" s="3" t="s">
        <v>469</v>
      </c>
      <c r="H31" s="3" t="s">
        <v>470</v>
      </c>
      <c r="I31" s="3" t="s">
        <v>471</v>
      </c>
      <c r="J31" s="3" t="s">
        <v>472</v>
      </c>
      <c r="K31" s="3" t="s">
        <v>305</v>
      </c>
      <c r="L31" s="3" t="s">
        <v>221</v>
      </c>
    </row>
    <row r="32" spans="1:12">
      <c r="A32" s="3" t="s">
        <v>221</v>
      </c>
      <c r="B32" s="8" t="s">
        <v>51</v>
      </c>
      <c r="C32" s="7" t="s">
        <v>473</v>
      </c>
      <c r="D32" s="3" t="s">
        <v>222</v>
      </c>
      <c r="E32" s="3" t="s">
        <v>474</v>
      </c>
      <c r="F32" s="3" t="s">
        <v>462</v>
      </c>
      <c r="G32" s="3" t="s">
        <v>475</v>
      </c>
      <c r="H32" s="3" t="s">
        <v>476</v>
      </c>
      <c r="I32" s="3" t="s">
        <v>477</v>
      </c>
      <c r="J32" s="3" t="s">
        <v>478</v>
      </c>
      <c r="K32" s="3" t="s">
        <v>305</v>
      </c>
      <c r="L32" s="3" t="s">
        <v>221</v>
      </c>
    </row>
    <row r="33" spans="1:12">
      <c r="A33" s="3" t="s">
        <v>221</v>
      </c>
      <c r="B33" s="8" t="s">
        <v>51</v>
      </c>
      <c r="C33" s="7" t="s">
        <v>479</v>
      </c>
      <c r="D33" s="3" t="s">
        <v>222</v>
      </c>
      <c r="E33" s="3" t="s">
        <v>480</v>
      </c>
      <c r="F33" s="3" t="s">
        <v>462</v>
      </c>
      <c r="G33" s="3" t="s">
        <v>481</v>
      </c>
      <c r="H33" s="3" t="s">
        <v>482</v>
      </c>
      <c r="I33" s="3" t="s">
        <v>483</v>
      </c>
      <c r="J33" s="3" t="s">
        <v>484</v>
      </c>
      <c r="K33" s="3" t="s">
        <v>305</v>
      </c>
      <c r="L33" s="3" t="s">
        <v>221</v>
      </c>
    </row>
    <row r="34" spans="1:12">
      <c r="A34" s="3" t="s">
        <v>221</v>
      </c>
      <c r="B34" s="8" t="s">
        <v>51</v>
      </c>
      <c r="C34" s="7" t="s">
        <v>485</v>
      </c>
      <c r="D34" s="3" t="s">
        <v>222</v>
      </c>
      <c r="E34" s="3" t="s">
        <v>486</v>
      </c>
      <c r="F34" s="3" t="s">
        <v>462</v>
      </c>
      <c r="G34" s="3" t="s">
        <v>481</v>
      </c>
      <c r="H34" s="3" t="s">
        <v>482</v>
      </c>
      <c r="I34" s="3" t="s">
        <v>487</v>
      </c>
      <c r="J34" s="3" t="s">
        <v>488</v>
      </c>
      <c r="K34" s="3" t="s">
        <v>305</v>
      </c>
      <c r="L34" s="3" t="s">
        <v>221</v>
      </c>
    </row>
    <row r="35" spans="1:12">
      <c r="A35" s="3" t="s">
        <v>221</v>
      </c>
      <c r="B35" s="8" t="s">
        <v>51</v>
      </c>
      <c r="C35" s="7" t="s">
        <v>489</v>
      </c>
      <c r="D35" s="3" t="s">
        <v>222</v>
      </c>
      <c r="E35" s="3" t="s">
        <v>490</v>
      </c>
      <c r="F35" s="3" t="s">
        <v>462</v>
      </c>
      <c r="G35" s="3" t="s">
        <v>481</v>
      </c>
      <c r="H35" s="3" t="s">
        <v>491</v>
      </c>
      <c r="I35" s="3" t="s">
        <v>492</v>
      </c>
      <c r="J35" s="3" t="s">
        <v>493</v>
      </c>
      <c r="K35" s="3" t="s">
        <v>305</v>
      </c>
      <c r="L35" s="3" t="s">
        <v>221</v>
      </c>
    </row>
    <row r="36" spans="1:12">
      <c r="A36" s="3" t="s">
        <v>221</v>
      </c>
      <c r="B36" s="8" t="s">
        <v>51</v>
      </c>
      <c r="C36" s="7" t="s">
        <v>494</v>
      </c>
      <c r="D36" s="3" t="s">
        <v>222</v>
      </c>
      <c r="E36" s="3" t="s">
        <v>495</v>
      </c>
      <c r="F36" s="3" t="s">
        <v>462</v>
      </c>
      <c r="G36" s="3" t="s">
        <v>481</v>
      </c>
      <c r="H36" s="3" t="s">
        <v>496</v>
      </c>
      <c r="I36" s="3" t="s">
        <v>497</v>
      </c>
      <c r="J36" s="3" t="s">
        <v>498</v>
      </c>
      <c r="K36" s="3" t="s">
        <v>305</v>
      </c>
      <c r="L36" s="3" t="s">
        <v>221</v>
      </c>
    </row>
    <row r="37" spans="1:12">
      <c r="A37" s="3" t="s">
        <v>221</v>
      </c>
      <c r="B37" s="8" t="s">
        <v>51</v>
      </c>
      <c r="C37" s="7" t="s">
        <v>499</v>
      </c>
      <c r="D37" s="3" t="s">
        <v>222</v>
      </c>
      <c r="E37" s="3" t="s">
        <v>500</v>
      </c>
      <c r="F37" s="3" t="s">
        <v>462</v>
      </c>
      <c r="G37" s="3" t="s">
        <v>475</v>
      </c>
      <c r="H37" s="3" t="s">
        <v>476</v>
      </c>
      <c r="I37" s="3" t="s">
        <v>501</v>
      </c>
      <c r="J37" s="3" t="s">
        <v>502</v>
      </c>
      <c r="K37" s="3" t="s">
        <v>305</v>
      </c>
      <c r="L37" s="3" t="s">
        <v>221</v>
      </c>
    </row>
    <row r="38" spans="1:12">
      <c r="A38" s="3" t="s">
        <v>221</v>
      </c>
      <c r="B38" s="8" t="s">
        <v>51</v>
      </c>
      <c r="C38" s="7" t="s">
        <v>503</v>
      </c>
      <c r="D38" s="3" t="s">
        <v>222</v>
      </c>
      <c r="E38" s="3" t="s">
        <v>504</v>
      </c>
      <c r="F38" s="3" t="s">
        <v>505</v>
      </c>
      <c r="G38" s="3" t="s">
        <v>506</v>
      </c>
      <c r="H38" s="3" t="s">
        <v>507</v>
      </c>
      <c r="I38" s="3" t="s">
        <v>508</v>
      </c>
      <c r="J38" s="3" t="s">
        <v>509</v>
      </c>
      <c r="K38" s="3" t="s">
        <v>305</v>
      </c>
      <c r="L38" s="3" t="s">
        <v>221</v>
      </c>
    </row>
    <row r="39" spans="1:12">
      <c r="A39" s="3" t="s">
        <v>221</v>
      </c>
      <c r="B39" s="8" t="s">
        <v>51</v>
      </c>
      <c r="C39" s="7" t="s">
        <v>510</v>
      </c>
      <c r="D39" s="3" t="s">
        <v>222</v>
      </c>
      <c r="E39" s="3" t="s">
        <v>511</v>
      </c>
      <c r="F39" s="3" t="s">
        <v>505</v>
      </c>
      <c r="G39" s="3" t="s">
        <v>512</v>
      </c>
      <c r="H39" s="3" t="s">
        <v>513</v>
      </c>
      <c r="I39" s="3" t="s">
        <v>514</v>
      </c>
      <c r="J39" s="3" t="s">
        <v>515</v>
      </c>
      <c r="K39" s="3" t="s">
        <v>305</v>
      </c>
      <c r="L39" s="3" t="s">
        <v>221</v>
      </c>
    </row>
    <row r="40" spans="1:12">
      <c r="A40" s="3" t="s">
        <v>221</v>
      </c>
      <c r="B40" s="8" t="s">
        <v>51</v>
      </c>
      <c r="C40" s="7" t="s">
        <v>516</v>
      </c>
      <c r="D40" s="3" t="s">
        <v>222</v>
      </c>
      <c r="E40" s="3" t="s">
        <v>517</v>
      </c>
      <c r="F40" s="3" t="s">
        <v>505</v>
      </c>
      <c r="G40" s="3" t="s">
        <v>518</v>
      </c>
      <c r="H40" s="3" t="s">
        <v>519</v>
      </c>
      <c r="I40" s="3" t="s">
        <v>520</v>
      </c>
      <c r="J40" s="3" t="s">
        <v>521</v>
      </c>
      <c r="K40" s="3" t="s">
        <v>305</v>
      </c>
      <c r="L40" s="3" t="s">
        <v>221</v>
      </c>
    </row>
    <row r="41" spans="1:12">
      <c r="A41" s="3" t="s">
        <v>221</v>
      </c>
      <c r="B41" s="8" t="s">
        <v>51</v>
      </c>
      <c r="C41" s="7" t="s">
        <v>522</v>
      </c>
      <c r="D41" s="3" t="s">
        <v>222</v>
      </c>
      <c r="E41" s="3" t="s">
        <v>523</v>
      </c>
      <c r="F41" s="3" t="s">
        <v>505</v>
      </c>
      <c r="G41" s="3" t="s">
        <v>524</v>
      </c>
      <c r="H41" s="3" t="s">
        <v>525</v>
      </c>
      <c r="I41" s="3" t="s">
        <v>526</v>
      </c>
      <c r="J41" s="3" t="s">
        <v>527</v>
      </c>
      <c r="K41" s="3" t="s">
        <v>305</v>
      </c>
      <c r="L41" s="3" t="s">
        <v>221</v>
      </c>
    </row>
    <row r="42" spans="1:12">
      <c r="A42" s="3" t="s">
        <v>221</v>
      </c>
      <c r="B42" s="8" t="s">
        <v>51</v>
      </c>
      <c r="C42" s="7" t="s">
        <v>528</v>
      </c>
      <c r="D42" s="3" t="s">
        <v>222</v>
      </c>
      <c r="E42" s="3" t="s">
        <v>529</v>
      </c>
      <c r="F42" s="3" t="s">
        <v>505</v>
      </c>
      <c r="G42" s="3" t="s">
        <v>530</v>
      </c>
      <c r="H42" s="3" t="s">
        <v>531</v>
      </c>
      <c r="I42" s="3" t="s">
        <v>532</v>
      </c>
      <c r="J42" s="3" t="s">
        <v>533</v>
      </c>
      <c r="K42" s="3" t="s">
        <v>305</v>
      </c>
      <c r="L42" s="3" t="s">
        <v>221</v>
      </c>
    </row>
    <row r="43" spans="1:12">
      <c r="A43" s="3" t="s">
        <v>221</v>
      </c>
      <c r="B43" s="8" t="s">
        <v>51</v>
      </c>
      <c r="C43" s="7" t="s">
        <v>534</v>
      </c>
      <c r="D43" s="3" t="s">
        <v>222</v>
      </c>
      <c r="E43" s="3" t="s">
        <v>535</v>
      </c>
      <c r="F43" s="3" t="s">
        <v>536</v>
      </c>
      <c r="G43" s="3" t="s">
        <v>537</v>
      </c>
      <c r="H43" s="3" t="s">
        <v>538</v>
      </c>
      <c r="I43" s="3" t="s">
        <v>539</v>
      </c>
      <c r="J43" s="3" t="s">
        <v>540</v>
      </c>
      <c r="K43" s="3" t="s">
        <v>305</v>
      </c>
      <c r="L43" s="3" t="s">
        <v>221</v>
      </c>
    </row>
    <row r="44" spans="1:12">
      <c r="A44" s="3" t="s">
        <v>221</v>
      </c>
      <c r="B44" s="8" t="s">
        <v>51</v>
      </c>
      <c r="C44" s="7" t="s">
        <v>541</v>
      </c>
      <c r="D44" s="3" t="s">
        <v>222</v>
      </c>
      <c r="E44" s="3" t="s">
        <v>542</v>
      </c>
      <c r="F44" s="3" t="s">
        <v>543</v>
      </c>
      <c r="G44" s="3" t="s">
        <v>544</v>
      </c>
      <c r="H44" s="3" t="s">
        <v>545</v>
      </c>
      <c r="I44" s="3" t="s">
        <v>546</v>
      </c>
      <c r="J44" s="3" t="s">
        <v>547</v>
      </c>
      <c r="K44" s="3" t="s">
        <v>305</v>
      </c>
      <c r="L44" s="3" t="s">
        <v>221</v>
      </c>
    </row>
    <row r="45" spans="1:12">
      <c r="A45" s="3" t="s">
        <v>221</v>
      </c>
      <c r="B45" s="8" t="s">
        <v>51</v>
      </c>
      <c r="C45" s="7" t="s">
        <v>548</v>
      </c>
      <c r="D45" s="3" t="s">
        <v>222</v>
      </c>
      <c r="E45" s="3" t="s">
        <v>549</v>
      </c>
      <c r="F45" s="3" t="s">
        <v>550</v>
      </c>
      <c r="G45" s="3" t="s">
        <v>551</v>
      </c>
      <c r="H45" s="3" t="s">
        <v>552</v>
      </c>
      <c r="I45" s="3" t="s">
        <v>553</v>
      </c>
      <c r="J45" s="3" t="s">
        <v>554</v>
      </c>
      <c r="K45" s="3" t="s">
        <v>305</v>
      </c>
      <c r="L45" s="3" t="s">
        <v>221</v>
      </c>
    </row>
    <row r="46" spans="1:12">
      <c r="A46" s="3" t="s">
        <v>221</v>
      </c>
      <c r="B46" s="8" t="s">
        <v>51</v>
      </c>
      <c r="C46" s="7" t="s">
        <v>555</v>
      </c>
      <c r="D46" s="3" t="s">
        <v>222</v>
      </c>
      <c r="E46" s="3" t="s">
        <v>556</v>
      </c>
      <c r="F46" s="3" t="s">
        <v>557</v>
      </c>
      <c r="G46" s="3" t="s">
        <v>558</v>
      </c>
      <c r="H46" s="3" t="s">
        <v>559</v>
      </c>
      <c r="I46" s="3" t="s">
        <v>560</v>
      </c>
      <c r="J46" s="3" t="s">
        <v>561</v>
      </c>
      <c r="K46" s="3" t="s">
        <v>305</v>
      </c>
      <c r="L46" s="3" t="s">
        <v>221</v>
      </c>
    </row>
    <row r="47" spans="1:12">
      <c r="A47" s="3" t="s">
        <v>221</v>
      </c>
      <c r="B47" s="8" t="s">
        <v>51</v>
      </c>
      <c r="C47" s="7" t="s">
        <v>562</v>
      </c>
      <c r="D47" s="3" t="s">
        <v>222</v>
      </c>
      <c r="E47" s="3" t="s">
        <v>563</v>
      </c>
      <c r="F47" s="3" t="s">
        <v>557</v>
      </c>
      <c r="G47" s="3" t="s">
        <v>558</v>
      </c>
      <c r="H47" s="3" t="s">
        <v>559</v>
      </c>
      <c r="I47" s="3" t="s">
        <v>564</v>
      </c>
      <c r="J47" s="3" t="s">
        <v>565</v>
      </c>
      <c r="K47" s="3" t="s">
        <v>305</v>
      </c>
      <c r="L47" s="3" t="s">
        <v>221</v>
      </c>
    </row>
    <row r="48" spans="1:12">
      <c r="A48" s="3" t="s">
        <v>221</v>
      </c>
      <c r="B48" s="8" t="s">
        <v>51</v>
      </c>
      <c r="C48" s="7" t="s">
        <v>566</v>
      </c>
      <c r="D48" s="3" t="s">
        <v>222</v>
      </c>
      <c r="E48" s="3" t="s">
        <v>567</v>
      </c>
      <c r="F48" s="3" t="s">
        <v>557</v>
      </c>
      <c r="G48" s="3" t="s">
        <v>568</v>
      </c>
      <c r="H48" s="3" t="s">
        <v>569</v>
      </c>
      <c r="I48" s="3" t="s">
        <v>570</v>
      </c>
      <c r="J48" s="3" t="s">
        <v>571</v>
      </c>
      <c r="K48" s="3" t="s">
        <v>305</v>
      </c>
      <c r="L48" s="3" t="s">
        <v>221</v>
      </c>
    </row>
    <row r="49" spans="1:12">
      <c r="A49" s="3" t="s">
        <v>221</v>
      </c>
      <c r="B49" s="8" t="s">
        <v>51</v>
      </c>
      <c r="C49" s="7" t="s">
        <v>572</v>
      </c>
      <c r="D49" s="3" t="s">
        <v>222</v>
      </c>
      <c r="E49" s="3" t="s">
        <v>573</v>
      </c>
      <c r="F49" s="3" t="s">
        <v>557</v>
      </c>
      <c r="G49" s="3" t="s">
        <v>574</v>
      </c>
      <c r="H49" s="3" t="s">
        <v>575</v>
      </c>
      <c r="I49" s="3" t="s">
        <v>576</v>
      </c>
      <c r="J49" s="3" t="s">
        <v>577</v>
      </c>
      <c r="K49" s="3" t="s">
        <v>305</v>
      </c>
      <c r="L49" s="3" t="s">
        <v>221</v>
      </c>
    </row>
    <row r="50" spans="1:12">
      <c r="A50" s="3" t="s">
        <v>221</v>
      </c>
      <c r="B50" s="8" t="s">
        <v>51</v>
      </c>
      <c r="C50" s="7" t="s">
        <v>578</v>
      </c>
      <c r="D50" s="3" t="s">
        <v>222</v>
      </c>
      <c r="E50" s="3" t="s">
        <v>579</v>
      </c>
      <c r="F50" s="3" t="s">
        <v>557</v>
      </c>
      <c r="G50" s="3" t="s">
        <v>568</v>
      </c>
      <c r="H50" s="3" t="s">
        <v>569</v>
      </c>
      <c r="I50" s="3" t="s">
        <v>580</v>
      </c>
      <c r="J50" s="3" t="s">
        <v>581</v>
      </c>
      <c r="K50" s="3" t="s">
        <v>305</v>
      </c>
      <c r="L50" s="3" t="s">
        <v>221</v>
      </c>
    </row>
    <row r="51" spans="1:12">
      <c r="A51" s="3" t="s">
        <v>221</v>
      </c>
      <c r="B51" s="8" t="s">
        <v>51</v>
      </c>
      <c r="C51" s="7" t="s">
        <v>582</v>
      </c>
      <c r="D51" s="3" t="s">
        <v>222</v>
      </c>
      <c r="E51" s="3" t="s">
        <v>583</v>
      </c>
      <c r="F51" s="3" t="s">
        <v>557</v>
      </c>
      <c r="G51" s="3" t="s">
        <v>584</v>
      </c>
      <c r="H51" s="3" t="s">
        <v>585</v>
      </c>
      <c r="I51" s="3" t="s">
        <v>586</v>
      </c>
      <c r="J51" s="3" t="s">
        <v>587</v>
      </c>
      <c r="K51" s="3" t="s">
        <v>305</v>
      </c>
      <c r="L51" s="3" t="s">
        <v>221</v>
      </c>
    </row>
    <row r="52" spans="1:12">
      <c r="A52" s="3" t="s">
        <v>221</v>
      </c>
      <c r="B52" s="8" t="s">
        <v>51</v>
      </c>
      <c r="C52" s="7" t="s">
        <v>588</v>
      </c>
      <c r="D52" s="3" t="s">
        <v>222</v>
      </c>
      <c r="E52" s="3" t="s">
        <v>589</v>
      </c>
      <c r="F52" s="3" t="s">
        <v>557</v>
      </c>
      <c r="G52" s="3" t="s">
        <v>568</v>
      </c>
      <c r="H52" s="3" t="s">
        <v>569</v>
      </c>
      <c r="I52" s="3" t="s">
        <v>590</v>
      </c>
      <c r="J52" s="3" t="s">
        <v>591</v>
      </c>
      <c r="K52" s="3" t="s">
        <v>305</v>
      </c>
      <c r="L52" s="3" t="s">
        <v>221</v>
      </c>
    </row>
    <row r="53" spans="1:12">
      <c r="A53" s="3" t="s">
        <v>221</v>
      </c>
      <c r="B53" s="8" t="s">
        <v>51</v>
      </c>
      <c r="C53" s="7" t="s">
        <v>592</v>
      </c>
      <c r="D53" s="3" t="s">
        <v>222</v>
      </c>
      <c r="E53" s="3" t="s">
        <v>593</v>
      </c>
      <c r="F53" s="3" t="s">
        <v>594</v>
      </c>
      <c r="G53" s="3" t="s">
        <v>595</v>
      </c>
      <c r="H53" s="3" t="s">
        <v>596</v>
      </c>
      <c r="I53" s="3" t="s">
        <v>597</v>
      </c>
      <c r="J53" s="3" t="s">
        <v>598</v>
      </c>
      <c r="K53" s="3" t="s">
        <v>305</v>
      </c>
      <c r="L53" s="3" t="s">
        <v>221</v>
      </c>
    </row>
    <row r="54" spans="1:12">
      <c r="A54" s="3" t="s">
        <v>221</v>
      </c>
      <c r="B54" s="8" t="s">
        <v>51</v>
      </c>
      <c r="C54" s="7" t="s">
        <v>599</v>
      </c>
      <c r="D54" s="3" t="s">
        <v>222</v>
      </c>
      <c r="E54" s="3" t="s">
        <v>600</v>
      </c>
      <c r="F54" s="3" t="s">
        <v>594</v>
      </c>
      <c r="G54" s="3" t="s">
        <v>601</v>
      </c>
      <c r="H54" s="3" t="s">
        <v>602</v>
      </c>
      <c r="I54" s="3" t="s">
        <v>603</v>
      </c>
      <c r="J54" s="3" t="s">
        <v>604</v>
      </c>
      <c r="K54" s="3" t="s">
        <v>305</v>
      </c>
      <c r="L54" s="3" t="s">
        <v>221</v>
      </c>
    </row>
    <row r="55" spans="1:12">
      <c r="A55" s="3" t="s">
        <v>221</v>
      </c>
      <c r="B55" s="8" t="s">
        <v>51</v>
      </c>
      <c r="C55" s="7" t="s">
        <v>605</v>
      </c>
      <c r="D55" s="3" t="s">
        <v>222</v>
      </c>
      <c r="E55" s="3" t="s">
        <v>606</v>
      </c>
      <c r="F55" s="3" t="s">
        <v>607</v>
      </c>
      <c r="G55" s="3" t="s">
        <v>608</v>
      </c>
      <c r="H55" s="3" t="s">
        <v>609</v>
      </c>
      <c r="I55" s="3" t="s">
        <v>610</v>
      </c>
      <c r="J55" s="3" t="s">
        <v>611</v>
      </c>
      <c r="K55" s="3" t="s">
        <v>305</v>
      </c>
      <c r="L55" s="3" t="s">
        <v>221</v>
      </c>
    </row>
    <row r="56" spans="1:12">
      <c r="A56" s="3" t="s">
        <v>221</v>
      </c>
      <c r="B56" s="8" t="s">
        <v>51</v>
      </c>
      <c r="C56" s="7" t="s">
        <v>612</v>
      </c>
      <c r="D56" s="3" t="s">
        <v>222</v>
      </c>
      <c r="E56" s="3" t="s">
        <v>613</v>
      </c>
      <c r="F56" s="3" t="s">
        <v>607</v>
      </c>
      <c r="G56" s="3" t="s">
        <v>614</v>
      </c>
      <c r="H56" s="3" t="s">
        <v>615</v>
      </c>
      <c r="I56" s="3" t="s">
        <v>616</v>
      </c>
      <c r="J56" s="3" t="s">
        <v>617</v>
      </c>
      <c r="K56" s="3" t="s">
        <v>305</v>
      </c>
      <c r="L56" s="3" t="s">
        <v>221</v>
      </c>
    </row>
    <row r="57" spans="1:12">
      <c r="A57" s="3" t="s">
        <v>221</v>
      </c>
      <c r="B57" s="8" t="s">
        <v>51</v>
      </c>
      <c r="C57" s="7" t="s">
        <v>618</v>
      </c>
      <c r="D57" s="3" t="s">
        <v>222</v>
      </c>
      <c r="E57" s="3" t="s">
        <v>619</v>
      </c>
      <c r="F57" s="3" t="s">
        <v>607</v>
      </c>
      <c r="G57" s="3" t="s">
        <v>620</v>
      </c>
      <c r="H57" s="3" t="s">
        <v>621</v>
      </c>
      <c r="I57" s="3" t="s">
        <v>622</v>
      </c>
      <c r="J57" s="3" t="s">
        <v>623</v>
      </c>
      <c r="K57" s="3" t="s">
        <v>305</v>
      </c>
      <c r="L57" s="3" t="s">
        <v>221</v>
      </c>
    </row>
    <row r="58" spans="1:12">
      <c r="A58" s="3" t="s">
        <v>221</v>
      </c>
      <c r="B58" s="8" t="s">
        <v>51</v>
      </c>
      <c r="C58" s="7" t="s">
        <v>624</v>
      </c>
      <c r="D58" s="3" t="s">
        <v>222</v>
      </c>
      <c r="E58" s="3" t="s">
        <v>625</v>
      </c>
      <c r="F58" s="3" t="s">
        <v>607</v>
      </c>
      <c r="G58" s="3" t="s">
        <v>626</v>
      </c>
      <c r="H58" s="3" t="s">
        <v>627</v>
      </c>
      <c r="I58" s="3" t="s">
        <v>628</v>
      </c>
      <c r="J58" s="3" t="s">
        <v>629</v>
      </c>
      <c r="K58" s="3" t="s">
        <v>305</v>
      </c>
      <c r="L58" s="3" t="s">
        <v>221</v>
      </c>
    </row>
    <row r="59" spans="1:12">
      <c r="A59" s="3" t="s">
        <v>221</v>
      </c>
      <c r="B59" s="8" t="s">
        <v>51</v>
      </c>
      <c r="C59" s="7" t="s">
        <v>630</v>
      </c>
      <c r="D59" s="3" t="s">
        <v>222</v>
      </c>
      <c r="E59" s="3" t="s">
        <v>631</v>
      </c>
      <c r="F59" s="3" t="s">
        <v>632</v>
      </c>
      <c r="G59" s="3" t="s">
        <v>633</v>
      </c>
      <c r="H59" s="3" t="s">
        <v>634</v>
      </c>
      <c r="I59" s="3" t="s">
        <v>635</v>
      </c>
      <c r="J59" s="3" t="s">
        <v>636</v>
      </c>
      <c r="K59" s="3" t="s">
        <v>305</v>
      </c>
      <c r="L59" s="3" t="s">
        <v>221</v>
      </c>
    </row>
    <row r="60" spans="1:12">
      <c r="A60" s="3" t="s">
        <v>221</v>
      </c>
      <c r="B60" s="8" t="s">
        <v>51</v>
      </c>
      <c r="C60" s="7" t="s">
        <v>637</v>
      </c>
      <c r="D60" s="3" t="s">
        <v>222</v>
      </c>
      <c r="E60" s="3" t="s">
        <v>638</v>
      </c>
      <c r="F60" s="3" t="s">
        <v>632</v>
      </c>
      <c r="G60" s="3" t="s">
        <v>639</v>
      </c>
      <c r="H60" s="3" t="s">
        <v>640</v>
      </c>
      <c r="I60" s="3" t="s">
        <v>641</v>
      </c>
      <c r="J60" s="3" t="s">
        <v>642</v>
      </c>
      <c r="K60" s="3" t="s">
        <v>305</v>
      </c>
      <c r="L60" s="3" t="s">
        <v>221</v>
      </c>
    </row>
    <row r="61" spans="1:12">
      <c r="A61" s="3" t="s">
        <v>221</v>
      </c>
      <c r="B61" s="8" t="s">
        <v>51</v>
      </c>
      <c r="C61" s="7" t="s">
        <v>643</v>
      </c>
      <c r="D61" s="3" t="s">
        <v>222</v>
      </c>
      <c r="E61" s="3" t="s">
        <v>644</v>
      </c>
      <c r="F61" s="3" t="s">
        <v>632</v>
      </c>
      <c r="G61" s="3" t="s">
        <v>645</v>
      </c>
      <c r="H61" s="3" t="s">
        <v>646</v>
      </c>
      <c r="I61" s="3" t="s">
        <v>647</v>
      </c>
      <c r="J61" s="3" t="s">
        <v>648</v>
      </c>
      <c r="K61" s="3" t="s">
        <v>305</v>
      </c>
      <c r="L61" s="3" t="s">
        <v>221</v>
      </c>
    </row>
    <row r="62" spans="1:12">
      <c r="A62" s="3" t="s">
        <v>221</v>
      </c>
      <c r="B62" s="8" t="s">
        <v>51</v>
      </c>
      <c r="C62" s="7" t="s">
        <v>649</v>
      </c>
      <c r="D62" s="3" t="s">
        <v>222</v>
      </c>
      <c r="E62" s="3" t="s">
        <v>650</v>
      </c>
      <c r="F62" s="3" t="s">
        <v>632</v>
      </c>
      <c r="G62" s="3" t="s">
        <v>651</v>
      </c>
      <c r="H62" s="3" t="s">
        <v>652</v>
      </c>
      <c r="I62" s="3" t="s">
        <v>653</v>
      </c>
      <c r="J62" s="3" t="s">
        <v>654</v>
      </c>
      <c r="K62" s="3" t="s">
        <v>305</v>
      </c>
      <c r="L62" s="3" t="s">
        <v>221</v>
      </c>
    </row>
    <row r="63" spans="1:12">
      <c r="A63" s="3" t="s">
        <v>221</v>
      </c>
      <c r="B63" s="8" t="s">
        <v>51</v>
      </c>
      <c r="C63" s="7" t="s">
        <v>655</v>
      </c>
      <c r="D63" s="3" t="s">
        <v>222</v>
      </c>
      <c r="E63" s="3" t="s">
        <v>656</v>
      </c>
      <c r="F63" s="3" t="s">
        <v>632</v>
      </c>
      <c r="G63" s="3" t="s">
        <v>657</v>
      </c>
      <c r="H63" s="3" t="s">
        <v>658</v>
      </c>
      <c r="I63" s="3" t="s">
        <v>659</v>
      </c>
      <c r="J63" s="3" t="s">
        <v>660</v>
      </c>
      <c r="K63" s="3" t="s">
        <v>305</v>
      </c>
      <c r="L63" s="3" t="s">
        <v>221</v>
      </c>
    </row>
    <row r="64" spans="1:12">
      <c r="A64" s="3" t="s">
        <v>221</v>
      </c>
      <c r="B64" s="8" t="s">
        <v>51</v>
      </c>
      <c r="C64" s="7" t="s">
        <v>661</v>
      </c>
      <c r="D64" s="3" t="s">
        <v>222</v>
      </c>
      <c r="E64" s="3" t="s">
        <v>662</v>
      </c>
      <c r="F64" s="3" t="s">
        <v>632</v>
      </c>
      <c r="G64" s="3" t="s">
        <v>633</v>
      </c>
      <c r="H64" s="3" t="s">
        <v>634</v>
      </c>
      <c r="I64" s="3" t="s">
        <v>663</v>
      </c>
      <c r="J64" s="3" t="s">
        <v>664</v>
      </c>
      <c r="K64" s="3" t="s">
        <v>305</v>
      </c>
      <c r="L64" s="3" t="s">
        <v>221</v>
      </c>
    </row>
    <row r="65" spans="1:12">
      <c r="A65" s="3" t="s">
        <v>221</v>
      </c>
      <c r="B65" s="8" t="s">
        <v>51</v>
      </c>
      <c r="C65" s="7" t="s">
        <v>665</v>
      </c>
      <c r="D65" s="3" t="s">
        <v>222</v>
      </c>
      <c r="E65" s="3" t="s">
        <v>666</v>
      </c>
      <c r="F65" s="3" t="s">
        <v>667</v>
      </c>
      <c r="G65" s="3" t="s">
        <v>668</v>
      </c>
      <c r="H65" s="3" t="s">
        <v>669</v>
      </c>
      <c r="I65" s="3" t="s">
        <v>670</v>
      </c>
      <c r="J65" s="3" t="s">
        <v>671</v>
      </c>
      <c r="K65" s="3" t="s">
        <v>305</v>
      </c>
      <c r="L65" s="3" t="s">
        <v>221</v>
      </c>
    </row>
    <row r="66" spans="1:12">
      <c r="A66" s="3" t="s">
        <v>221</v>
      </c>
      <c r="B66" s="8" t="s">
        <v>51</v>
      </c>
      <c r="C66" s="7" t="s">
        <v>672</v>
      </c>
      <c r="D66" s="3" t="s">
        <v>222</v>
      </c>
      <c r="E66" s="3" t="s">
        <v>673</v>
      </c>
      <c r="F66" s="3" t="s">
        <v>667</v>
      </c>
      <c r="G66" s="3" t="s">
        <v>674</v>
      </c>
      <c r="H66" s="3" t="s">
        <v>675</v>
      </c>
      <c r="I66" s="3" t="s">
        <v>676</v>
      </c>
      <c r="J66" s="3" t="s">
        <v>677</v>
      </c>
      <c r="K66" s="3" t="s">
        <v>305</v>
      </c>
      <c r="L66" s="3" t="s">
        <v>221</v>
      </c>
    </row>
    <row r="67" spans="1:12">
      <c r="A67" s="3" t="s">
        <v>221</v>
      </c>
      <c r="B67" s="8" t="s">
        <v>51</v>
      </c>
      <c r="C67" s="7" t="s">
        <v>678</v>
      </c>
      <c r="D67" s="3" t="s">
        <v>222</v>
      </c>
      <c r="E67" s="3" t="s">
        <v>679</v>
      </c>
      <c r="F67" s="3" t="s">
        <v>667</v>
      </c>
      <c r="G67" s="3" t="s">
        <v>680</v>
      </c>
      <c r="H67" s="3" t="s">
        <v>681</v>
      </c>
      <c r="I67" s="3" t="s">
        <v>682</v>
      </c>
      <c r="J67" s="3" t="s">
        <v>682</v>
      </c>
      <c r="K67" s="3" t="s">
        <v>305</v>
      </c>
      <c r="L67" s="3" t="s">
        <v>221</v>
      </c>
    </row>
    <row r="68" spans="1:12">
      <c r="A68" s="3" t="s">
        <v>221</v>
      </c>
      <c r="B68" s="8" t="s">
        <v>51</v>
      </c>
      <c r="C68" s="7" t="s">
        <v>683</v>
      </c>
      <c r="D68" s="3" t="s">
        <v>222</v>
      </c>
      <c r="E68" s="3" t="s">
        <v>684</v>
      </c>
      <c r="F68" s="3" t="s">
        <v>685</v>
      </c>
      <c r="G68" s="3" t="s">
        <v>686</v>
      </c>
      <c r="H68" s="3" t="s">
        <v>687</v>
      </c>
      <c r="I68" s="3" t="s">
        <v>688</v>
      </c>
      <c r="J68" s="3" t="s">
        <v>689</v>
      </c>
      <c r="K68" s="3" t="s">
        <v>305</v>
      </c>
      <c r="L68" s="3" t="s">
        <v>221</v>
      </c>
    </row>
    <row r="69" spans="1:12">
      <c r="A69" s="3" t="s">
        <v>221</v>
      </c>
      <c r="B69" s="8" t="s">
        <v>51</v>
      </c>
      <c r="C69" s="7" t="s">
        <v>690</v>
      </c>
      <c r="D69" s="3" t="s">
        <v>222</v>
      </c>
      <c r="E69" s="3" t="s">
        <v>691</v>
      </c>
      <c r="F69" s="3" t="s">
        <v>685</v>
      </c>
      <c r="G69" s="3" t="s">
        <v>692</v>
      </c>
      <c r="H69" s="3" t="s">
        <v>693</v>
      </c>
      <c r="I69" s="3" t="s">
        <v>694</v>
      </c>
      <c r="J69" s="3" t="s">
        <v>695</v>
      </c>
      <c r="K69" s="3" t="s">
        <v>305</v>
      </c>
      <c r="L69" s="3" t="s">
        <v>221</v>
      </c>
    </row>
    <row r="70" spans="1:12">
      <c r="A70" s="3" t="s">
        <v>221</v>
      </c>
      <c r="B70" s="8" t="s">
        <v>51</v>
      </c>
      <c r="C70" s="7" t="s">
        <v>696</v>
      </c>
      <c r="D70" s="3" t="s">
        <v>222</v>
      </c>
      <c r="E70" s="3" t="s">
        <v>697</v>
      </c>
      <c r="F70" s="3" t="s">
        <v>685</v>
      </c>
      <c r="G70" s="3" t="s">
        <v>698</v>
      </c>
      <c r="H70" s="3" t="s">
        <v>699</v>
      </c>
      <c r="I70" s="3" t="s">
        <v>700</v>
      </c>
      <c r="J70" s="3" t="s">
        <v>701</v>
      </c>
      <c r="K70" s="3" t="s">
        <v>305</v>
      </c>
      <c r="L70" s="3" t="s">
        <v>221</v>
      </c>
    </row>
    <row r="71" spans="1:12">
      <c r="A71" s="3" t="s">
        <v>221</v>
      </c>
      <c r="B71" s="8" t="s">
        <v>51</v>
      </c>
      <c r="C71" s="7" t="s">
        <v>702</v>
      </c>
      <c r="D71" s="3" t="s">
        <v>222</v>
      </c>
      <c r="E71" s="3" t="s">
        <v>703</v>
      </c>
      <c r="F71" s="3" t="s">
        <v>685</v>
      </c>
      <c r="G71" s="3" t="s">
        <v>686</v>
      </c>
      <c r="H71" s="3" t="s">
        <v>687</v>
      </c>
      <c r="I71" s="3" t="s">
        <v>704</v>
      </c>
      <c r="J71" s="3" t="s">
        <v>705</v>
      </c>
      <c r="K71" s="3" t="s">
        <v>305</v>
      </c>
      <c r="L71" s="3" t="s">
        <v>221</v>
      </c>
    </row>
    <row r="72" spans="1:12">
      <c r="A72" s="3" t="s">
        <v>221</v>
      </c>
      <c r="B72" s="8" t="s">
        <v>51</v>
      </c>
      <c r="C72" s="7" t="s">
        <v>706</v>
      </c>
      <c r="D72" s="3" t="s">
        <v>222</v>
      </c>
      <c r="E72" s="3" t="s">
        <v>707</v>
      </c>
      <c r="F72" s="3" t="s">
        <v>708</v>
      </c>
      <c r="G72" s="3" t="s">
        <v>709</v>
      </c>
      <c r="H72" s="3" t="s">
        <v>710</v>
      </c>
      <c r="I72" s="3" t="s">
        <v>711</v>
      </c>
      <c r="J72" s="3" t="s">
        <v>712</v>
      </c>
      <c r="K72" s="3" t="s">
        <v>305</v>
      </c>
      <c r="L72" s="3" t="s">
        <v>221</v>
      </c>
    </row>
    <row r="73" spans="1:12">
      <c r="A73" s="3" t="s">
        <v>221</v>
      </c>
      <c r="B73" s="8" t="s">
        <v>51</v>
      </c>
      <c r="C73" s="7" t="s">
        <v>713</v>
      </c>
      <c r="D73" s="3" t="s">
        <v>222</v>
      </c>
      <c r="E73" s="3" t="s">
        <v>714</v>
      </c>
      <c r="F73" s="3" t="s">
        <v>715</v>
      </c>
      <c r="G73" s="3" t="s">
        <v>716</v>
      </c>
      <c r="H73" s="3" t="s">
        <v>717</v>
      </c>
      <c r="I73" s="3" t="s">
        <v>718</v>
      </c>
      <c r="J73" s="3" t="s">
        <v>719</v>
      </c>
      <c r="K73" s="3" t="s">
        <v>305</v>
      </c>
      <c r="L73" s="3" t="s">
        <v>221</v>
      </c>
    </row>
    <row r="74" spans="1:12">
      <c r="A74" s="3" t="s">
        <v>221</v>
      </c>
      <c r="B74" s="8" t="s">
        <v>51</v>
      </c>
      <c r="C74" s="7" t="s">
        <v>720</v>
      </c>
      <c r="D74" s="3" t="s">
        <v>222</v>
      </c>
      <c r="E74" s="3" t="s">
        <v>721</v>
      </c>
      <c r="F74" s="3" t="s">
        <v>715</v>
      </c>
      <c r="G74" s="3" t="s">
        <v>722</v>
      </c>
      <c r="H74" s="3" t="s">
        <v>723</v>
      </c>
      <c r="I74" s="3" t="s">
        <v>724</v>
      </c>
      <c r="J74" s="3" t="s">
        <v>725</v>
      </c>
      <c r="K74" s="3" t="s">
        <v>305</v>
      </c>
      <c r="L74" s="3" t="s">
        <v>221</v>
      </c>
    </row>
    <row r="75" spans="1:12">
      <c r="A75" s="3" t="s">
        <v>221</v>
      </c>
      <c r="B75" s="8" t="s">
        <v>51</v>
      </c>
      <c r="C75" s="7" t="s">
        <v>726</v>
      </c>
      <c r="D75" s="3" t="s">
        <v>222</v>
      </c>
      <c r="E75" s="3" t="s">
        <v>727</v>
      </c>
      <c r="F75" s="3" t="s">
        <v>728</v>
      </c>
      <c r="G75" s="3" t="s">
        <v>729</v>
      </c>
      <c r="H75" s="3" t="s">
        <v>730</v>
      </c>
      <c r="I75" s="3" t="s">
        <v>731</v>
      </c>
      <c r="J75" s="3" t="s">
        <v>732</v>
      </c>
      <c r="K75" s="3" t="s">
        <v>305</v>
      </c>
      <c r="L75" s="3" t="s">
        <v>221</v>
      </c>
    </row>
    <row r="76" spans="1:12">
      <c r="A76" s="3" t="s">
        <v>221</v>
      </c>
      <c r="B76" s="8" t="s">
        <v>51</v>
      </c>
      <c r="C76" s="7" t="s">
        <v>733</v>
      </c>
      <c r="D76" s="3" t="s">
        <v>222</v>
      </c>
      <c r="E76" s="3" t="s">
        <v>734</v>
      </c>
      <c r="F76" s="3" t="s">
        <v>728</v>
      </c>
      <c r="G76" s="3" t="s">
        <v>735</v>
      </c>
      <c r="H76" s="3" t="s">
        <v>736</v>
      </c>
      <c r="I76" s="3" t="s">
        <v>737</v>
      </c>
      <c r="J76" s="3" t="s">
        <v>737</v>
      </c>
      <c r="K76" s="3" t="s">
        <v>305</v>
      </c>
      <c r="L76" s="3" t="s">
        <v>221</v>
      </c>
    </row>
    <row r="77" spans="1:12">
      <c r="A77" s="3" t="s">
        <v>221</v>
      </c>
      <c r="B77" s="8" t="s">
        <v>51</v>
      </c>
      <c r="C77" s="7" t="s">
        <v>738</v>
      </c>
      <c r="D77" s="3" t="s">
        <v>222</v>
      </c>
      <c r="E77" s="3" t="s">
        <v>739</v>
      </c>
      <c r="F77" s="3" t="s">
        <v>728</v>
      </c>
      <c r="G77" s="3" t="s">
        <v>740</v>
      </c>
      <c r="H77" s="3" t="s">
        <v>741</v>
      </c>
      <c r="I77" s="3" t="s">
        <v>742</v>
      </c>
      <c r="J77" s="3" t="s">
        <v>742</v>
      </c>
      <c r="K77" s="3" t="s">
        <v>305</v>
      </c>
      <c r="L77" s="3" t="s">
        <v>221</v>
      </c>
    </row>
    <row r="78" spans="1:12">
      <c r="A78" s="3" t="s">
        <v>221</v>
      </c>
      <c r="B78" s="8" t="s">
        <v>51</v>
      </c>
      <c r="C78" s="7" t="s">
        <v>743</v>
      </c>
      <c r="D78" s="3" t="s">
        <v>222</v>
      </c>
      <c r="E78" s="3" t="s">
        <v>744</v>
      </c>
      <c r="F78" s="3" t="s">
        <v>728</v>
      </c>
      <c r="G78" s="3" t="s">
        <v>745</v>
      </c>
      <c r="H78" s="3" t="s">
        <v>746</v>
      </c>
      <c r="I78" s="3" t="s">
        <v>747</v>
      </c>
      <c r="J78" s="3" t="s">
        <v>747</v>
      </c>
      <c r="K78" s="3" t="s">
        <v>305</v>
      </c>
      <c r="L78" s="3" t="s">
        <v>221</v>
      </c>
    </row>
    <row r="79" spans="1:12">
      <c r="A79" s="3" t="s">
        <v>221</v>
      </c>
      <c r="B79" s="8" t="s">
        <v>51</v>
      </c>
      <c r="C79" s="7" t="s">
        <v>748</v>
      </c>
      <c r="D79" s="3" t="s">
        <v>222</v>
      </c>
      <c r="E79" s="3" t="s">
        <v>749</v>
      </c>
      <c r="F79" s="3" t="s">
        <v>728</v>
      </c>
      <c r="G79" s="3" t="s">
        <v>750</v>
      </c>
      <c r="H79" s="3" t="s">
        <v>751</v>
      </c>
      <c r="I79" s="3" t="s">
        <v>752</v>
      </c>
      <c r="J79" s="3" t="s">
        <v>752</v>
      </c>
      <c r="K79" s="3" t="s">
        <v>305</v>
      </c>
      <c r="L79" s="3" t="s">
        <v>221</v>
      </c>
    </row>
    <row r="80" spans="1:12">
      <c r="A80" s="3" t="s">
        <v>221</v>
      </c>
      <c r="B80" s="8" t="s">
        <v>51</v>
      </c>
      <c r="C80" s="7" t="s">
        <v>753</v>
      </c>
      <c r="D80" s="3" t="s">
        <v>222</v>
      </c>
      <c r="E80" s="3" t="s">
        <v>754</v>
      </c>
      <c r="F80" s="3" t="s">
        <v>728</v>
      </c>
      <c r="G80" s="3" t="s">
        <v>755</v>
      </c>
      <c r="H80" s="3" t="s">
        <v>756</v>
      </c>
      <c r="I80" s="3" t="s">
        <v>757</v>
      </c>
      <c r="J80" s="3" t="s">
        <v>757</v>
      </c>
      <c r="K80" s="3" t="s">
        <v>305</v>
      </c>
      <c r="L80" s="3" t="s">
        <v>221</v>
      </c>
    </row>
    <row r="81" spans="1:12">
      <c r="A81" s="3" t="s">
        <v>221</v>
      </c>
      <c r="B81" s="8" t="s">
        <v>51</v>
      </c>
      <c r="C81" s="7" t="s">
        <v>758</v>
      </c>
      <c r="D81" s="3" t="s">
        <v>222</v>
      </c>
      <c r="E81" s="3" t="s">
        <v>759</v>
      </c>
      <c r="F81" s="3" t="s">
        <v>760</v>
      </c>
      <c r="G81" s="3" t="s">
        <v>761</v>
      </c>
      <c r="H81" s="3" t="s">
        <v>762</v>
      </c>
      <c r="I81" s="3" t="s">
        <v>763</v>
      </c>
      <c r="J81" s="3" t="s">
        <v>763</v>
      </c>
      <c r="K81" s="3" t="s">
        <v>305</v>
      </c>
      <c r="L81" s="3" t="s">
        <v>221</v>
      </c>
    </row>
    <row r="82" spans="1:12">
      <c r="A82" s="3" t="s">
        <v>221</v>
      </c>
      <c r="B82" s="8" t="s">
        <v>51</v>
      </c>
      <c r="C82" s="7" t="s">
        <v>764</v>
      </c>
      <c r="D82" s="3" t="s">
        <v>222</v>
      </c>
      <c r="E82" s="3" t="s">
        <v>765</v>
      </c>
      <c r="F82" s="3" t="s">
        <v>766</v>
      </c>
      <c r="G82" s="3" t="s">
        <v>767</v>
      </c>
      <c r="H82" s="3" t="s">
        <v>768</v>
      </c>
      <c r="I82" s="3" t="s">
        <v>769</v>
      </c>
      <c r="J82" s="3" t="s">
        <v>769</v>
      </c>
      <c r="K82" s="3" t="s">
        <v>305</v>
      </c>
      <c r="L82" s="3" t="s">
        <v>221</v>
      </c>
    </row>
    <row r="83" spans="1:12">
      <c r="A83" s="3" t="s">
        <v>221</v>
      </c>
      <c r="B83" s="8" t="s">
        <v>51</v>
      </c>
      <c r="C83" s="7" t="s">
        <v>770</v>
      </c>
      <c r="D83" s="3" t="s">
        <v>222</v>
      </c>
      <c r="E83" s="3" t="s">
        <v>771</v>
      </c>
      <c r="F83" s="3" t="s">
        <v>772</v>
      </c>
      <c r="G83" s="3" t="s">
        <v>773</v>
      </c>
      <c r="H83" s="3" t="s">
        <v>774</v>
      </c>
      <c r="I83" s="3" t="s">
        <v>775</v>
      </c>
      <c r="J83" s="3" t="s">
        <v>775</v>
      </c>
      <c r="K83" s="3" t="s">
        <v>305</v>
      </c>
      <c r="L83" s="3" t="s">
        <v>221</v>
      </c>
    </row>
    <row r="84" spans="1:12">
      <c r="A84" s="3" t="s">
        <v>221</v>
      </c>
      <c r="B84" s="8" t="s">
        <v>51</v>
      </c>
      <c r="C84" s="7" t="s">
        <v>776</v>
      </c>
      <c r="D84" s="3" t="s">
        <v>222</v>
      </c>
      <c r="E84" s="3" t="s">
        <v>777</v>
      </c>
      <c r="F84" s="3" t="s">
        <v>462</v>
      </c>
      <c r="G84" s="3" t="s">
        <v>778</v>
      </c>
      <c r="H84" s="3" t="s">
        <v>779</v>
      </c>
      <c r="I84" s="3" t="s">
        <v>780</v>
      </c>
      <c r="J84" s="3" t="s">
        <v>780</v>
      </c>
      <c r="K84" s="3" t="s">
        <v>305</v>
      </c>
      <c r="L84" s="3" t="s">
        <v>221</v>
      </c>
    </row>
    <row r="85" spans="1:12">
      <c r="A85" s="3" t="s">
        <v>221</v>
      </c>
      <c r="B85" s="8" t="s">
        <v>51</v>
      </c>
      <c r="C85" s="7" t="s">
        <v>781</v>
      </c>
      <c r="D85" s="3" t="s">
        <v>222</v>
      </c>
      <c r="E85" s="3" t="s">
        <v>782</v>
      </c>
      <c r="F85" s="3" t="s">
        <v>462</v>
      </c>
      <c r="G85" s="3" t="s">
        <v>783</v>
      </c>
      <c r="H85" s="3" t="s">
        <v>482</v>
      </c>
      <c r="I85" s="3" t="s">
        <v>784</v>
      </c>
      <c r="J85" s="3" t="s">
        <v>784</v>
      </c>
      <c r="K85" s="3" t="s">
        <v>305</v>
      </c>
      <c r="L85" s="3" t="s">
        <v>221</v>
      </c>
    </row>
    <row r="86" spans="1:12">
      <c r="A86" s="3" t="s">
        <v>221</v>
      </c>
      <c r="B86" s="8" t="s">
        <v>51</v>
      </c>
      <c r="C86" s="7" t="s">
        <v>785</v>
      </c>
      <c r="D86" s="3" t="s">
        <v>222</v>
      </c>
      <c r="E86" s="3" t="s">
        <v>786</v>
      </c>
      <c r="F86" s="3" t="s">
        <v>787</v>
      </c>
      <c r="G86" s="3" t="s">
        <v>788</v>
      </c>
      <c r="H86" s="3" t="s">
        <v>789</v>
      </c>
      <c r="I86" s="3" t="s">
        <v>790</v>
      </c>
      <c r="J86" s="3" t="s">
        <v>790</v>
      </c>
      <c r="K86" s="3" t="s">
        <v>305</v>
      </c>
      <c r="L86" s="3" t="s">
        <v>221</v>
      </c>
    </row>
    <row r="87" spans="1:12">
      <c r="A87" s="3" t="s">
        <v>384</v>
      </c>
      <c r="B87" s="8" t="s">
        <v>51</v>
      </c>
      <c r="C87" s="7" t="s">
        <v>791</v>
      </c>
      <c r="D87" s="3" t="s">
        <v>792</v>
      </c>
      <c r="E87" s="3" t="s">
        <v>793</v>
      </c>
      <c r="F87" s="3"/>
      <c r="G87" s="3" t="s">
        <v>794</v>
      </c>
      <c r="H87" s="3" t="s">
        <v>795</v>
      </c>
      <c r="I87" s="3" t="s">
        <v>796</v>
      </c>
      <c r="J87" s="3" t="s">
        <v>797</v>
      </c>
      <c r="K87" s="3" t="s">
        <v>305</v>
      </c>
      <c r="L87" s="3" t="s">
        <v>384</v>
      </c>
    </row>
    <row r="88" spans="1:12">
      <c r="A88" s="3" t="s">
        <v>384</v>
      </c>
      <c r="B88" s="8" t="s">
        <v>51</v>
      </c>
      <c r="C88" s="7" t="s">
        <v>798</v>
      </c>
      <c r="D88" s="3" t="s">
        <v>792</v>
      </c>
      <c r="E88" s="3" t="s">
        <v>799</v>
      </c>
      <c r="F88" s="3"/>
      <c r="G88" s="3" t="s">
        <v>800</v>
      </c>
      <c r="H88" s="3" t="s">
        <v>801</v>
      </c>
      <c r="I88" s="3" t="s">
        <v>802</v>
      </c>
      <c r="J88" s="3" t="s">
        <v>803</v>
      </c>
      <c r="K88" s="3" t="s">
        <v>305</v>
      </c>
      <c r="L88" s="3" t="s">
        <v>384</v>
      </c>
    </row>
    <row r="89" spans="1:12">
      <c r="A89" s="3" t="s">
        <v>384</v>
      </c>
      <c r="B89" s="8" t="s">
        <v>51</v>
      </c>
      <c r="C89" s="7" t="s">
        <v>804</v>
      </c>
      <c r="D89" s="3" t="s">
        <v>792</v>
      </c>
      <c r="E89" s="3" t="s">
        <v>799</v>
      </c>
      <c r="F89" s="3"/>
      <c r="G89" s="3" t="s">
        <v>805</v>
      </c>
      <c r="H89" s="3" t="s">
        <v>806</v>
      </c>
      <c r="I89" s="3" t="s">
        <v>807</v>
      </c>
      <c r="J89" s="3" t="s">
        <v>808</v>
      </c>
      <c r="K89" s="3" t="s">
        <v>305</v>
      </c>
      <c r="L89" s="3" t="s">
        <v>384</v>
      </c>
    </row>
    <row r="90" spans="1:12">
      <c r="A90" s="3" t="s">
        <v>384</v>
      </c>
      <c r="B90" s="8" t="s">
        <v>51</v>
      </c>
      <c r="C90" s="7" t="s">
        <v>809</v>
      </c>
      <c r="D90" s="3" t="s">
        <v>792</v>
      </c>
      <c r="E90" s="3" t="s">
        <v>810</v>
      </c>
      <c r="F90" s="3"/>
      <c r="G90" s="3" t="s">
        <v>811</v>
      </c>
      <c r="H90" s="3" t="s">
        <v>812</v>
      </c>
      <c r="I90" s="3" t="s">
        <v>813</v>
      </c>
      <c r="J90" s="3" t="s">
        <v>814</v>
      </c>
      <c r="K90" s="3" t="s">
        <v>305</v>
      </c>
      <c r="L90" s="3" t="s">
        <v>384</v>
      </c>
    </row>
    <row r="91" spans="1:12">
      <c r="A91" s="3" t="s">
        <v>384</v>
      </c>
      <c r="B91" s="8" t="s">
        <v>51</v>
      </c>
      <c r="C91" s="7" t="s">
        <v>815</v>
      </c>
      <c r="D91" s="3" t="s">
        <v>792</v>
      </c>
      <c r="E91" s="3" t="s">
        <v>799</v>
      </c>
      <c r="F91" s="3"/>
      <c r="G91" s="3" t="s">
        <v>816</v>
      </c>
      <c r="H91" s="3" t="s">
        <v>817</v>
      </c>
      <c r="I91" s="3" t="s">
        <v>818</v>
      </c>
      <c r="J91" s="3" t="s">
        <v>819</v>
      </c>
      <c r="K91" s="3" t="s">
        <v>305</v>
      </c>
      <c r="L91" s="3" t="s">
        <v>384</v>
      </c>
    </row>
    <row r="92" spans="1:12">
      <c r="A92" s="3" t="s">
        <v>820</v>
      </c>
      <c r="B92" s="8" t="s">
        <v>51</v>
      </c>
      <c r="C92" s="7" t="s">
        <v>821</v>
      </c>
      <c r="D92" s="3" t="s">
        <v>822</v>
      </c>
      <c r="E92" s="3" t="s">
        <v>823</v>
      </c>
      <c r="F92" s="3"/>
      <c r="G92" s="3" t="s">
        <v>824</v>
      </c>
      <c r="H92" s="3" t="s">
        <v>825</v>
      </c>
      <c r="I92" s="3" t="s">
        <v>826</v>
      </c>
      <c r="J92" s="3" t="s">
        <v>827</v>
      </c>
      <c r="K92" s="3" t="s">
        <v>305</v>
      </c>
      <c r="L92" s="3" t="s">
        <v>820</v>
      </c>
    </row>
    <row r="93" spans="1:12">
      <c r="A93" s="3" t="s">
        <v>828</v>
      </c>
      <c r="B93" s="8" t="s">
        <v>51</v>
      </c>
      <c r="C93" s="7" t="s">
        <v>829</v>
      </c>
      <c r="D93" s="3" t="s">
        <v>830</v>
      </c>
      <c r="E93" s="3" t="s">
        <v>831</v>
      </c>
      <c r="F93" s="3"/>
      <c r="G93" s="3" t="s">
        <v>832</v>
      </c>
      <c r="H93" s="3" t="s">
        <v>833</v>
      </c>
      <c r="I93" s="3" t="s">
        <v>834</v>
      </c>
      <c r="J93" s="3" t="s">
        <v>835</v>
      </c>
      <c r="K93" s="3" t="s">
        <v>305</v>
      </c>
      <c r="L93" s="3" t="s">
        <v>828</v>
      </c>
    </row>
    <row r="94" spans="1:12">
      <c r="A94" s="3" t="s">
        <v>384</v>
      </c>
      <c r="B94" s="8" t="s">
        <v>51</v>
      </c>
      <c r="C94" s="7" t="s">
        <v>836</v>
      </c>
      <c r="D94" s="3" t="s">
        <v>792</v>
      </c>
      <c r="E94" s="3" t="s">
        <v>837</v>
      </c>
      <c r="F94" s="3" t="s">
        <v>838</v>
      </c>
      <c r="G94" s="3" t="s">
        <v>839</v>
      </c>
      <c r="H94" s="3" t="s">
        <v>840</v>
      </c>
      <c r="I94" s="3" t="s">
        <v>841</v>
      </c>
      <c r="J94" s="3" t="s">
        <v>842</v>
      </c>
      <c r="K94" s="3" t="s">
        <v>305</v>
      </c>
      <c r="L94" s="3" t="s">
        <v>384</v>
      </c>
    </row>
    <row r="95" spans="1:12">
      <c r="A95" s="3" t="s">
        <v>384</v>
      </c>
      <c r="B95" s="8" t="s">
        <v>51</v>
      </c>
      <c r="C95" s="7" t="s">
        <v>843</v>
      </c>
      <c r="D95" s="3" t="s">
        <v>792</v>
      </c>
      <c r="E95" s="3" t="s">
        <v>844</v>
      </c>
      <c r="F95" s="3" t="s">
        <v>839</v>
      </c>
      <c r="G95" s="3" t="s">
        <v>838</v>
      </c>
      <c r="H95" s="3" t="s">
        <v>840</v>
      </c>
      <c r="I95" s="3" t="s">
        <v>845</v>
      </c>
      <c r="J95" s="3" t="s">
        <v>846</v>
      </c>
      <c r="K95" s="3" t="s">
        <v>305</v>
      </c>
      <c r="L95" s="3" t="s">
        <v>384</v>
      </c>
    </row>
    <row r="96" spans="1:12">
      <c r="A96" s="3" t="s">
        <v>384</v>
      </c>
      <c r="B96" s="8" t="s">
        <v>51</v>
      </c>
      <c r="C96" s="7" t="s">
        <v>847</v>
      </c>
      <c r="D96" s="3" t="s">
        <v>792</v>
      </c>
      <c r="E96" s="3" t="s">
        <v>848</v>
      </c>
      <c r="F96" s="3" t="s">
        <v>849</v>
      </c>
      <c r="G96" s="3" t="s">
        <v>850</v>
      </c>
      <c r="H96" s="3" t="s">
        <v>851</v>
      </c>
      <c r="I96" s="3" t="s">
        <v>852</v>
      </c>
      <c r="J96" s="3" t="s">
        <v>853</v>
      </c>
      <c r="K96" s="3" t="s">
        <v>305</v>
      </c>
      <c r="L96" s="3" t="s">
        <v>384</v>
      </c>
    </row>
    <row r="97" spans="1:12">
      <c r="A97" s="3" t="s">
        <v>384</v>
      </c>
      <c r="B97" s="8" t="s">
        <v>51</v>
      </c>
      <c r="C97" s="7" t="s">
        <v>854</v>
      </c>
      <c r="D97" s="3" t="s">
        <v>792</v>
      </c>
      <c r="E97" s="3" t="s">
        <v>855</v>
      </c>
      <c r="F97" s="3"/>
      <c r="G97" s="3" t="s">
        <v>856</v>
      </c>
      <c r="H97" s="3" t="s">
        <v>857</v>
      </c>
      <c r="I97" s="3" t="s">
        <v>858</v>
      </c>
      <c r="J97" s="3" t="s">
        <v>859</v>
      </c>
      <c r="K97" s="3" t="s">
        <v>305</v>
      </c>
      <c r="L97" s="3" t="s">
        <v>384</v>
      </c>
    </row>
    <row r="98" spans="1:12">
      <c r="A98" s="3" t="s">
        <v>820</v>
      </c>
      <c r="B98" s="8" t="s">
        <v>51</v>
      </c>
      <c r="C98" s="7" t="s">
        <v>860</v>
      </c>
      <c r="D98" s="3" t="s">
        <v>822</v>
      </c>
      <c r="E98" s="3" t="s">
        <v>861</v>
      </c>
      <c r="F98" s="3"/>
      <c r="G98" s="3" t="s">
        <v>862</v>
      </c>
      <c r="H98" s="3" t="s">
        <v>863</v>
      </c>
      <c r="I98" s="3" t="s">
        <v>864</v>
      </c>
      <c r="J98" s="3" t="s">
        <v>865</v>
      </c>
      <c r="K98" s="3" t="s">
        <v>305</v>
      </c>
      <c r="L98" s="3" t="s">
        <v>820</v>
      </c>
    </row>
    <row r="99" spans="1:12">
      <c r="A99" s="3" t="s">
        <v>866</v>
      </c>
      <c r="B99" s="8" t="s">
        <v>51</v>
      </c>
      <c r="C99" s="7" t="s">
        <v>867</v>
      </c>
      <c r="D99" s="3" t="s">
        <v>868</v>
      </c>
      <c r="E99" s="3" t="s">
        <v>869</v>
      </c>
      <c r="F99" s="3"/>
      <c r="G99" s="3" t="s">
        <v>870</v>
      </c>
      <c r="H99" s="3" t="s">
        <v>871</v>
      </c>
      <c r="I99" s="3" t="s">
        <v>872</v>
      </c>
      <c r="J99" s="3" t="s">
        <v>873</v>
      </c>
      <c r="K99" s="3" t="s">
        <v>874</v>
      </c>
      <c r="L99" s="3" t="s">
        <v>866</v>
      </c>
    </row>
    <row r="100" spans="1:12">
      <c r="A100" s="3" t="s">
        <v>866</v>
      </c>
      <c r="B100" s="8" t="s">
        <v>51</v>
      </c>
      <c r="C100" s="7" t="s">
        <v>875</v>
      </c>
      <c r="D100" s="3" t="s">
        <v>868</v>
      </c>
      <c r="E100" s="3" t="s">
        <v>876</v>
      </c>
      <c r="F100" s="3" t="s">
        <v>877</v>
      </c>
      <c r="G100" s="3" t="s">
        <v>878</v>
      </c>
      <c r="H100" s="3" t="s">
        <v>879</v>
      </c>
      <c r="I100" s="3" t="s">
        <v>880</v>
      </c>
      <c r="J100" s="3" t="s">
        <v>881</v>
      </c>
      <c r="K100" s="3" t="s">
        <v>874</v>
      </c>
      <c r="L100" s="3" t="s">
        <v>866</v>
      </c>
    </row>
    <row r="101" spans="1:12">
      <c r="A101" s="3" t="s">
        <v>866</v>
      </c>
      <c r="B101" s="8" t="s">
        <v>51</v>
      </c>
      <c r="C101" s="7" t="s">
        <v>882</v>
      </c>
      <c r="D101" s="3" t="s">
        <v>868</v>
      </c>
      <c r="E101" s="3" t="s">
        <v>883</v>
      </c>
      <c r="F101" s="3"/>
      <c r="G101" s="3" t="s">
        <v>884</v>
      </c>
      <c r="H101" s="3" t="s">
        <v>885</v>
      </c>
      <c r="I101" s="3" t="s">
        <v>886</v>
      </c>
      <c r="J101" s="3" t="s">
        <v>887</v>
      </c>
      <c r="K101" s="3" t="s">
        <v>874</v>
      </c>
      <c r="L101" s="3" t="s">
        <v>866</v>
      </c>
    </row>
    <row r="102" spans="1:12">
      <c r="A102" s="3" t="s">
        <v>866</v>
      </c>
      <c r="B102" s="8" t="s">
        <v>51</v>
      </c>
      <c r="C102" s="7" t="s">
        <v>888</v>
      </c>
      <c r="D102" s="3" t="s">
        <v>868</v>
      </c>
      <c r="E102" s="3" t="s">
        <v>889</v>
      </c>
      <c r="F102" s="3"/>
      <c r="G102" s="3" t="s">
        <v>890</v>
      </c>
      <c r="H102" s="3" t="s">
        <v>891</v>
      </c>
      <c r="I102" s="3" t="s">
        <v>892</v>
      </c>
      <c r="J102" s="3" t="s">
        <v>893</v>
      </c>
      <c r="K102" s="3" t="s">
        <v>874</v>
      </c>
      <c r="L102" s="3" t="s">
        <v>866</v>
      </c>
    </row>
    <row r="103" spans="1:12">
      <c r="A103" s="3" t="s">
        <v>866</v>
      </c>
      <c r="B103" s="8" t="s">
        <v>51</v>
      </c>
      <c r="C103" s="7" t="s">
        <v>894</v>
      </c>
      <c r="D103" s="3" t="s">
        <v>868</v>
      </c>
      <c r="E103" s="3" t="s">
        <v>895</v>
      </c>
      <c r="F103" s="3"/>
      <c r="G103" s="3" t="s">
        <v>896</v>
      </c>
      <c r="H103" s="3" t="s">
        <v>897</v>
      </c>
      <c r="I103" s="3" t="s">
        <v>898</v>
      </c>
      <c r="J103" s="3" t="s">
        <v>899</v>
      </c>
      <c r="K103" s="3" t="s">
        <v>874</v>
      </c>
      <c r="L103" s="3" t="s">
        <v>866</v>
      </c>
    </row>
    <row r="104" spans="1:12">
      <c r="A104" s="3" t="s">
        <v>866</v>
      </c>
      <c r="B104" s="8" t="s">
        <v>51</v>
      </c>
      <c r="C104" s="7" t="s">
        <v>900</v>
      </c>
      <c r="D104" s="3" t="s">
        <v>868</v>
      </c>
      <c r="E104" s="3" t="s">
        <v>901</v>
      </c>
      <c r="F104" s="3"/>
      <c r="G104" s="3" t="s">
        <v>902</v>
      </c>
      <c r="H104" s="3" t="s">
        <v>903</v>
      </c>
      <c r="I104" s="3" t="s">
        <v>904</v>
      </c>
      <c r="J104" s="3" t="s">
        <v>905</v>
      </c>
      <c r="K104" s="3" t="s">
        <v>874</v>
      </c>
      <c r="L104" s="3" t="s">
        <v>866</v>
      </c>
    </row>
    <row r="105" spans="1:12">
      <c r="A105" s="3" t="s">
        <v>866</v>
      </c>
      <c r="B105" s="8" t="s">
        <v>51</v>
      </c>
      <c r="C105" s="7" t="s">
        <v>906</v>
      </c>
      <c r="D105" s="3" t="s">
        <v>868</v>
      </c>
      <c r="E105" s="3" t="s">
        <v>907</v>
      </c>
      <c r="F105" s="3"/>
      <c r="G105" s="3" t="s">
        <v>908</v>
      </c>
      <c r="H105" s="3" t="s">
        <v>909</v>
      </c>
      <c r="I105" s="3" t="s">
        <v>910</v>
      </c>
      <c r="J105" s="3" t="s">
        <v>911</v>
      </c>
      <c r="K105" s="3" t="s">
        <v>874</v>
      </c>
      <c r="L105" s="3" t="s">
        <v>866</v>
      </c>
    </row>
    <row r="106" spans="1:12">
      <c r="A106" s="3" t="s">
        <v>866</v>
      </c>
      <c r="B106" s="8" t="s">
        <v>51</v>
      </c>
      <c r="C106" s="7" t="s">
        <v>912</v>
      </c>
      <c r="D106" s="3" t="s">
        <v>868</v>
      </c>
      <c r="E106" s="3" t="s">
        <v>913</v>
      </c>
      <c r="F106" s="3"/>
      <c r="G106" s="3" t="s">
        <v>914</v>
      </c>
      <c r="H106" s="3" t="s">
        <v>915</v>
      </c>
      <c r="I106" s="3" t="s">
        <v>916</v>
      </c>
      <c r="J106" s="3" t="s">
        <v>917</v>
      </c>
      <c r="K106" s="3" t="s">
        <v>874</v>
      </c>
      <c r="L106" s="3" t="s">
        <v>866</v>
      </c>
    </row>
    <row r="107" spans="1:12">
      <c r="A107" s="3" t="s">
        <v>866</v>
      </c>
      <c r="B107" s="8" t="s">
        <v>51</v>
      </c>
      <c r="C107" s="7" t="s">
        <v>918</v>
      </c>
      <c r="D107" s="3" t="s">
        <v>868</v>
      </c>
      <c r="E107" s="3" t="s">
        <v>919</v>
      </c>
      <c r="F107" s="3"/>
      <c r="G107" s="3" t="s">
        <v>920</v>
      </c>
      <c r="H107" s="3" t="s">
        <v>921</v>
      </c>
      <c r="I107" s="3" t="s">
        <v>922</v>
      </c>
      <c r="J107" s="3" t="s">
        <v>923</v>
      </c>
      <c r="K107" s="3" t="s">
        <v>874</v>
      </c>
      <c r="L107" s="3" t="s">
        <v>866</v>
      </c>
    </row>
    <row r="108" spans="1:12">
      <c r="A108" s="3" t="s">
        <v>924</v>
      </c>
      <c r="B108" s="8" t="s">
        <v>51</v>
      </c>
      <c r="C108" s="7" t="s">
        <v>925</v>
      </c>
      <c r="D108" s="3" t="s">
        <v>926</v>
      </c>
      <c r="E108" s="3" t="s">
        <v>927</v>
      </c>
      <c r="F108" s="3" t="s">
        <v>928</v>
      </c>
      <c r="G108" s="3" t="s">
        <v>929</v>
      </c>
      <c r="H108" s="3" t="s">
        <v>930</v>
      </c>
      <c r="I108" s="3" t="s">
        <v>865</v>
      </c>
      <c r="J108" s="3" t="s">
        <v>931</v>
      </c>
      <c r="K108" s="3" t="s">
        <v>305</v>
      </c>
      <c r="L108" s="3" t="s">
        <v>924</v>
      </c>
    </row>
    <row r="109" spans="1:12">
      <c r="A109" s="3" t="s">
        <v>924</v>
      </c>
      <c r="B109" s="8" t="s">
        <v>51</v>
      </c>
      <c r="C109" s="7" t="s">
        <v>932</v>
      </c>
      <c r="D109" s="3" t="s">
        <v>926</v>
      </c>
      <c r="E109" s="3" t="s">
        <v>933</v>
      </c>
      <c r="F109" s="3" t="s">
        <v>928</v>
      </c>
      <c r="G109" s="3" t="s">
        <v>934</v>
      </c>
      <c r="H109" s="3" t="s">
        <v>935</v>
      </c>
      <c r="I109" s="3" t="s">
        <v>865</v>
      </c>
      <c r="J109" s="3" t="s">
        <v>936</v>
      </c>
      <c r="K109" s="3" t="s">
        <v>305</v>
      </c>
      <c r="L109" s="3" t="s">
        <v>924</v>
      </c>
    </row>
    <row r="110" spans="1:12">
      <c r="A110" s="3" t="s">
        <v>924</v>
      </c>
      <c r="B110" s="8" t="s">
        <v>51</v>
      </c>
      <c r="C110" s="7" t="s">
        <v>937</v>
      </c>
      <c r="D110" s="3" t="s">
        <v>926</v>
      </c>
      <c r="E110" s="3" t="s">
        <v>938</v>
      </c>
      <c r="F110" s="3" t="s">
        <v>939</v>
      </c>
      <c r="G110" s="3" t="s">
        <v>940</v>
      </c>
      <c r="H110" s="3" t="s">
        <v>941</v>
      </c>
      <c r="I110" s="3" t="s">
        <v>865</v>
      </c>
      <c r="J110" s="3" t="s">
        <v>942</v>
      </c>
      <c r="K110" s="3" t="s">
        <v>305</v>
      </c>
      <c r="L110" s="3" t="s">
        <v>924</v>
      </c>
    </row>
    <row r="111" spans="1:12">
      <c r="A111" s="3" t="s">
        <v>924</v>
      </c>
      <c r="B111" s="8" t="s">
        <v>51</v>
      </c>
      <c r="C111" s="7" t="s">
        <v>943</v>
      </c>
      <c r="D111" s="3" t="s">
        <v>926</v>
      </c>
      <c r="E111" s="3" t="s">
        <v>944</v>
      </c>
      <c r="F111" s="3" t="s">
        <v>939</v>
      </c>
      <c r="G111" s="3" t="s">
        <v>945</v>
      </c>
      <c r="H111" s="3" t="s">
        <v>946</v>
      </c>
      <c r="I111" s="3" t="s">
        <v>865</v>
      </c>
      <c r="J111" s="3" t="s">
        <v>947</v>
      </c>
      <c r="K111" s="3" t="s">
        <v>305</v>
      </c>
      <c r="L111" s="3" t="s">
        <v>924</v>
      </c>
    </row>
    <row r="112" spans="1:12">
      <c r="A112" s="3" t="s">
        <v>924</v>
      </c>
      <c r="B112" s="8" t="s">
        <v>51</v>
      </c>
      <c r="C112" s="7" t="s">
        <v>948</v>
      </c>
      <c r="D112" s="3" t="s">
        <v>926</v>
      </c>
      <c r="E112" s="3" t="s">
        <v>949</v>
      </c>
      <c r="F112" s="3" t="s">
        <v>950</v>
      </c>
      <c r="G112" s="3" t="s">
        <v>951</v>
      </c>
      <c r="H112" s="3" t="s">
        <v>952</v>
      </c>
      <c r="I112" s="3" t="s">
        <v>865</v>
      </c>
      <c r="J112" s="3" t="s">
        <v>953</v>
      </c>
      <c r="K112" s="3" t="s">
        <v>305</v>
      </c>
      <c r="L112" s="3" t="s">
        <v>924</v>
      </c>
    </row>
    <row r="113" spans="1:12">
      <c r="A113" s="3" t="s">
        <v>924</v>
      </c>
      <c r="B113" s="8" t="s">
        <v>51</v>
      </c>
      <c r="C113" s="7" t="s">
        <v>954</v>
      </c>
      <c r="D113" s="3" t="s">
        <v>926</v>
      </c>
      <c r="E113" s="3" t="s">
        <v>955</v>
      </c>
      <c r="F113" s="3" t="s">
        <v>956</v>
      </c>
      <c r="G113" s="3" t="s">
        <v>957</v>
      </c>
      <c r="H113" s="3" t="s">
        <v>958</v>
      </c>
      <c r="I113" s="3" t="s">
        <v>865</v>
      </c>
      <c r="J113" s="3" t="s">
        <v>959</v>
      </c>
      <c r="K113" s="3" t="s">
        <v>305</v>
      </c>
      <c r="L113" s="3" t="s">
        <v>924</v>
      </c>
    </row>
    <row r="114" spans="1:12">
      <c r="A114" s="3" t="s">
        <v>924</v>
      </c>
      <c r="B114" s="8" t="s">
        <v>51</v>
      </c>
      <c r="C114" s="7" t="s">
        <v>960</v>
      </c>
      <c r="D114" s="3" t="s">
        <v>926</v>
      </c>
      <c r="E114" s="3" t="s">
        <v>961</v>
      </c>
      <c r="F114" s="3" t="s">
        <v>962</v>
      </c>
      <c r="G114" s="3" t="s">
        <v>963</v>
      </c>
      <c r="H114" s="3" t="s">
        <v>964</v>
      </c>
      <c r="I114" s="3" t="s">
        <v>865</v>
      </c>
      <c r="J114" s="3" t="s">
        <v>965</v>
      </c>
      <c r="K114" s="3" t="s">
        <v>305</v>
      </c>
      <c r="L114" s="3" t="s">
        <v>924</v>
      </c>
    </row>
    <row r="115" spans="1:12">
      <c r="A115" s="3" t="s">
        <v>924</v>
      </c>
      <c r="B115" s="8" t="s">
        <v>51</v>
      </c>
      <c r="C115" s="7" t="s">
        <v>966</v>
      </c>
      <c r="D115" s="3" t="s">
        <v>926</v>
      </c>
      <c r="E115" s="3" t="s">
        <v>967</v>
      </c>
      <c r="F115" s="3" t="s">
        <v>962</v>
      </c>
      <c r="G115" s="3" t="s">
        <v>968</v>
      </c>
      <c r="H115" s="3" t="s">
        <v>969</v>
      </c>
      <c r="I115" s="3" t="s">
        <v>865</v>
      </c>
      <c r="J115" s="3" t="s">
        <v>970</v>
      </c>
      <c r="K115" s="3" t="s">
        <v>305</v>
      </c>
      <c r="L115" s="3" t="s">
        <v>924</v>
      </c>
    </row>
    <row r="116" spans="1:12">
      <c r="A116" s="3" t="s">
        <v>924</v>
      </c>
      <c r="B116" s="8" t="s">
        <v>51</v>
      </c>
      <c r="C116" s="7" t="s">
        <v>971</v>
      </c>
      <c r="D116" s="3" t="s">
        <v>926</v>
      </c>
      <c r="E116" s="3" t="s">
        <v>972</v>
      </c>
      <c r="F116" s="3" t="s">
        <v>939</v>
      </c>
      <c r="G116" s="3" t="s">
        <v>973</v>
      </c>
      <c r="H116" s="3" t="s">
        <v>974</v>
      </c>
      <c r="I116" s="3" t="s">
        <v>865</v>
      </c>
      <c r="J116" s="3" t="s">
        <v>975</v>
      </c>
      <c r="K116" s="3" t="s">
        <v>305</v>
      </c>
      <c r="L116" s="3" t="s">
        <v>924</v>
      </c>
    </row>
    <row r="117" spans="1:12">
      <c r="A117" s="3" t="s">
        <v>976</v>
      </c>
      <c r="B117" s="8" t="s">
        <v>51</v>
      </c>
      <c r="C117" s="7" t="s">
        <v>977</v>
      </c>
      <c r="D117" s="3" t="s">
        <v>978</v>
      </c>
      <c r="E117" s="3" t="s">
        <v>979</v>
      </c>
      <c r="F117" s="3" t="s">
        <v>980</v>
      </c>
      <c r="G117" s="3"/>
      <c r="H117" s="3" t="s">
        <v>981</v>
      </c>
      <c r="I117" s="3" t="s">
        <v>982</v>
      </c>
      <c r="J117" s="3" t="s">
        <v>983</v>
      </c>
      <c r="K117" s="3" t="s">
        <v>305</v>
      </c>
      <c r="L117" s="3" t="s">
        <v>976</v>
      </c>
    </row>
    <row r="118" spans="1:12">
      <c r="A118" s="3" t="s">
        <v>984</v>
      </c>
      <c r="B118" s="8" t="s">
        <v>51</v>
      </c>
      <c r="C118" s="7" t="s">
        <v>985</v>
      </c>
      <c r="D118" s="3" t="s">
        <v>986</v>
      </c>
      <c r="E118" s="3" t="s">
        <v>987</v>
      </c>
      <c r="F118" s="3" t="s">
        <v>988</v>
      </c>
      <c r="G118" s="3" t="s">
        <v>989</v>
      </c>
      <c r="H118" s="3" t="s">
        <v>990</v>
      </c>
      <c r="I118" s="3" t="s">
        <v>991</v>
      </c>
      <c r="J118" s="3" t="s">
        <v>992</v>
      </c>
      <c r="K118" s="3" t="s">
        <v>305</v>
      </c>
      <c r="L118" s="3" t="s">
        <v>984</v>
      </c>
    </row>
    <row r="119" spans="1:12">
      <c r="A119" s="3" t="s">
        <v>984</v>
      </c>
      <c r="B119" s="8" t="s">
        <v>51</v>
      </c>
      <c r="C119" s="7" t="s">
        <v>993</v>
      </c>
      <c r="D119" s="3" t="s">
        <v>986</v>
      </c>
      <c r="E119" s="3" t="s">
        <v>994</v>
      </c>
      <c r="F119" s="3" t="s">
        <v>995</v>
      </c>
      <c r="G119" s="3" t="s">
        <v>996</v>
      </c>
      <c r="H119" s="3" t="s">
        <v>997</v>
      </c>
      <c r="I119" s="3" t="s">
        <v>998</v>
      </c>
      <c r="J119" s="3" t="s">
        <v>999</v>
      </c>
      <c r="K119" s="3" t="s">
        <v>305</v>
      </c>
      <c r="L119" s="3" t="s">
        <v>984</v>
      </c>
    </row>
    <row r="120" spans="1:12">
      <c r="A120" s="3" t="s">
        <v>1000</v>
      </c>
      <c r="B120" s="8" t="s">
        <v>51</v>
      </c>
      <c r="C120" s="7" t="s">
        <v>1001</v>
      </c>
      <c r="D120" s="3" t="s">
        <v>1002</v>
      </c>
      <c r="E120" s="3" t="s">
        <v>1003</v>
      </c>
      <c r="F120" s="3"/>
      <c r="G120" s="3" t="s">
        <v>1004</v>
      </c>
      <c r="H120" s="3" t="s">
        <v>1005</v>
      </c>
      <c r="I120" s="3" t="s">
        <v>1006</v>
      </c>
      <c r="J120" s="3" t="s">
        <v>1007</v>
      </c>
      <c r="K120" s="3" t="s">
        <v>305</v>
      </c>
      <c r="L120" s="3" t="s">
        <v>1000</v>
      </c>
    </row>
    <row r="121" spans="1:12">
      <c r="A121" s="3" t="s">
        <v>1000</v>
      </c>
      <c r="B121" s="8" t="s">
        <v>51</v>
      </c>
      <c r="C121" s="7" t="s">
        <v>1008</v>
      </c>
      <c r="D121" s="3" t="s">
        <v>1002</v>
      </c>
      <c r="E121" s="3" t="s">
        <v>1009</v>
      </c>
      <c r="F121" s="3"/>
      <c r="G121" s="3" t="s">
        <v>1010</v>
      </c>
      <c r="H121" s="3" t="s">
        <v>1011</v>
      </c>
      <c r="I121" s="3" t="s">
        <v>1012</v>
      </c>
      <c r="J121" s="3" t="s">
        <v>1013</v>
      </c>
      <c r="K121" s="3" t="s">
        <v>305</v>
      </c>
      <c r="L121" s="3" t="s">
        <v>1000</v>
      </c>
    </row>
    <row r="122" spans="1:12">
      <c r="A122" s="3" t="s">
        <v>1000</v>
      </c>
      <c r="B122" s="8" t="s">
        <v>51</v>
      </c>
      <c r="C122" s="7" t="s">
        <v>1014</v>
      </c>
      <c r="D122" s="3" t="s">
        <v>1002</v>
      </c>
      <c r="E122" s="3" t="s">
        <v>1015</v>
      </c>
      <c r="F122" s="3"/>
      <c r="G122" s="3" t="s">
        <v>1016</v>
      </c>
      <c r="H122" s="3" t="s">
        <v>1017</v>
      </c>
      <c r="I122" s="3" t="s">
        <v>1018</v>
      </c>
      <c r="J122" s="3" t="s">
        <v>1019</v>
      </c>
      <c r="K122" s="3" t="s">
        <v>305</v>
      </c>
      <c r="L122" s="3" t="s">
        <v>1000</v>
      </c>
    </row>
    <row r="123" spans="1:12">
      <c r="A123" s="3" t="s">
        <v>1000</v>
      </c>
      <c r="B123" s="8" t="s">
        <v>51</v>
      </c>
      <c r="C123" s="7" t="s">
        <v>1020</v>
      </c>
      <c r="D123" s="3" t="s">
        <v>1002</v>
      </c>
      <c r="E123" s="3" t="s">
        <v>1021</v>
      </c>
      <c r="F123" s="3"/>
      <c r="G123" s="3" t="s">
        <v>1022</v>
      </c>
      <c r="H123" s="3" t="s">
        <v>1023</v>
      </c>
      <c r="I123" s="3" t="s">
        <v>1024</v>
      </c>
      <c r="J123" s="3" t="s">
        <v>1025</v>
      </c>
      <c r="K123" s="3" t="s">
        <v>305</v>
      </c>
      <c r="L123" s="3" t="s">
        <v>1000</v>
      </c>
    </row>
    <row r="124" spans="1:12">
      <c r="A124" s="3" t="s">
        <v>1000</v>
      </c>
      <c r="B124" s="8" t="s">
        <v>51</v>
      </c>
      <c r="C124" s="7" t="s">
        <v>1026</v>
      </c>
      <c r="D124" s="3" t="s">
        <v>1002</v>
      </c>
      <c r="E124" s="3" t="s">
        <v>1027</v>
      </c>
      <c r="F124" s="3"/>
      <c r="G124" s="3" t="s">
        <v>1028</v>
      </c>
      <c r="H124" s="3" t="s">
        <v>1029</v>
      </c>
      <c r="I124" s="3" t="s">
        <v>1030</v>
      </c>
      <c r="J124" s="3" t="s">
        <v>1031</v>
      </c>
      <c r="K124" s="3" t="s">
        <v>305</v>
      </c>
      <c r="L124" s="3" t="s">
        <v>1000</v>
      </c>
    </row>
    <row r="125" spans="1:12">
      <c r="A125" s="3" t="s">
        <v>221</v>
      </c>
      <c r="B125" s="8" t="s">
        <v>51</v>
      </c>
      <c r="C125" s="7" t="s">
        <v>1032</v>
      </c>
      <c r="D125" s="3" t="s">
        <v>222</v>
      </c>
      <c r="E125" s="3" t="s">
        <v>1033</v>
      </c>
      <c r="F125" s="3" t="s">
        <v>543</v>
      </c>
      <c r="G125" s="3" t="s">
        <v>1034</v>
      </c>
      <c r="H125" s="3" t="s">
        <v>1035</v>
      </c>
      <c r="I125" s="3" t="s">
        <v>1036</v>
      </c>
      <c r="J125" s="3" t="s">
        <v>1036</v>
      </c>
      <c r="K125" s="3" t="s">
        <v>305</v>
      </c>
      <c r="L125" s="3" t="s">
        <v>221</v>
      </c>
    </row>
    <row r="126" spans="1:12">
      <c r="A126" s="3" t="s">
        <v>866</v>
      </c>
      <c r="B126" s="8" t="s">
        <v>51</v>
      </c>
      <c r="C126" s="7" t="s">
        <v>1037</v>
      </c>
      <c r="D126" s="3" t="s">
        <v>868</v>
      </c>
      <c r="E126" s="3" t="s">
        <v>1038</v>
      </c>
      <c r="F126" s="3"/>
      <c r="G126" s="3" t="s">
        <v>1039</v>
      </c>
      <c r="H126" s="3" t="s">
        <v>1040</v>
      </c>
      <c r="I126" s="3" t="s">
        <v>1041</v>
      </c>
      <c r="J126" s="3" t="s">
        <v>1042</v>
      </c>
      <c r="K126" s="3" t="s">
        <v>874</v>
      </c>
      <c r="L126" s="3" t="s">
        <v>866</v>
      </c>
    </row>
    <row r="127" spans="1:12">
      <c r="A127" s="3" t="s">
        <v>1000</v>
      </c>
      <c r="B127" s="8" t="s">
        <v>51</v>
      </c>
      <c r="C127" s="7" t="s">
        <v>1043</v>
      </c>
      <c r="D127" s="3" t="s">
        <v>1002</v>
      </c>
      <c r="E127" s="3" t="s">
        <v>1044</v>
      </c>
      <c r="F127" s="3"/>
      <c r="G127" s="3" t="s">
        <v>1045</v>
      </c>
      <c r="H127" s="3" t="s">
        <v>1046</v>
      </c>
      <c r="I127" s="3" t="s">
        <v>1047</v>
      </c>
      <c r="J127" s="3" t="s">
        <v>1048</v>
      </c>
      <c r="K127" s="3" t="s">
        <v>305</v>
      </c>
      <c r="L127" s="3" t="s">
        <v>1000</v>
      </c>
    </row>
    <row r="128" spans="1:12">
      <c r="A128" s="3" t="s">
        <v>984</v>
      </c>
      <c r="B128" s="8" t="s">
        <v>51</v>
      </c>
      <c r="C128" s="7" t="s">
        <v>1049</v>
      </c>
      <c r="D128" s="3" t="s">
        <v>986</v>
      </c>
      <c r="E128" s="3" t="s">
        <v>1050</v>
      </c>
      <c r="F128" s="3"/>
      <c r="G128" s="3" t="s">
        <v>1051</v>
      </c>
      <c r="H128" s="3" t="s">
        <v>1052</v>
      </c>
      <c r="I128" s="3" t="s">
        <v>1053</v>
      </c>
      <c r="J128" s="3" t="s">
        <v>1054</v>
      </c>
      <c r="K128" s="3" t="s">
        <v>305</v>
      </c>
      <c r="L128" s="3" t="s">
        <v>984</v>
      </c>
    </row>
    <row r="129" spans="1:12">
      <c r="A129" s="3" t="s">
        <v>221</v>
      </c>
      <c r="B129" s="8" t="s">
        <v>51</v>
      </c>
      <c r="C129" s="7" t="s">
        <v>1055</v>
      </c>
      <c r="D129" s="3" t="s">
        <v>222</v>
      </c>
      <c r="E129" s="3" t="s">
        <v>1056</v>
      </c>
      <c r="F129" s="3" t="s">
        <v>323</v>
      </c>
      <c r="G129" s="3" t="s">
        <v>324</v>
      </c>
      <c r="H129" s="3" t="s">
        <v>1057</v>
      </c>
      <c r="I129" s="3" t="s">
        <v>1058</v>
      </c>
      <c r="J129" s="3" t="s">
        <v>1058</v>
      </c>
      <c r="K129" s="3" t="s">
        <v>305</v>
      </c>
      <c r="L129" s="3" t="s">
        <v>221</v>
      </c>
    </row>
    <row r="130" spans="1:12">
      <c r="A130" s="3" t="s">
        <v>221</v>
      </c>
      <c r="B130" s="8" t="s">
        <v>51</v>
      </c>
      <c r="C130" s="7" t="s">
        <v>1059</v>
      </c>
      <c r="D130" s="3" t="s">
        <v>222</v>
      </c>
      <c r="E130" s="3" t="s">
        <v>1060</v>
      </c>
      <c r="F130" s="3" t="s">
        <v>323</v>
      </c>
      <c r="G130" s="3" t="s">
        <v>1061</v>
      </c>
      <c r="H130" s="3" t="s">
        <v>1062</v>
      </c>
      <c r="I130" s="3" t="s">
        <v>1063</v>
      </c>
      <c r="J130" s="3" t="s">
        <v>1063</v>
      </c>
      <c r="K130" s="3" t="s">
        <v>305</v>
      </c>
      <c r="L130" s="3" t="s">
        <v>221</v>
      </c>
    </row>
    <row r="131" spans="1:12">
      <c r="A131" s="3" t="s">
        <v>221</v>
      </c>
      <c r="B131" s="8" t="s">
        <v>51</v>
      </c>
      <c r="C131" s="7" t="s">
        <v>1064</v>
      </c>
      <c r="D131" s="3" t="s">
        <v>222</v>
      </c>
      <c r="E131" s="3" t="s">
        <v>1065</v>
      </c>
      <c r="F131" s="3" t="s">
        <v>536</v>
      </c>
      <c r="G131" s="3" t="s">
        <v>1066</v>
      </c>
      <c r="H131" s="3" t="s">
        <v>1067</v>
      </c>
      <c r="I131" s="3" t="s">
        <v>1068</v>
      </c>
      <c r="J131" s="3" t="s">
        <v>1068</v>
      </c>
      <c r="K131" s="3" t="s">
        <v>305</v>
      </c>
      <c r="L131" s="3" t="s">
        <v>221</v>
      </c>
    </row>
    <row r="132" spans="1:12">
      <c r="A132" s="3" t="s">
        <v>221</v>
      </c>
      <c r="B132" s="8" t="s">
        <v>51</v>
      </c>
      <c r="C132" s="7" t="s">
        <v>1069</v>
      </c>
      <c r="D132" s="3" t="s">
        <v>222</v>
      </c>
      <c r="E132" s="3" t="s">
        <v>1070</v>
      </c>
      <c r="F132" s="3" t="s">
        <v>1071</v>
      </c>
      <c r="G132" s="3" t="s">
        <v>745</v>
      </c>
      <c r="H132" s="3" t="s">
        <v>1072</v>
      </c>
      <c r="I132" s="3" t="s">
        <v>1073</v>
      </c>
      <c r="J132" s="3" t="s">
        <v>1073</v>
      </c>
      <c r="K132" s="3" t="s">
        <v>305</v>
      </c>
      <c r="L132" s="3" t="s">
        <v>221</v>
      </c>
    </row>
    <row r="133" spans="1:12">
      <c r="A133" s="3" t="s">
        <v>221</v>
      </c>
      <c r="B133" s="8" t="s">
        <v>51</v>
      </c>
      <c r="C133" s="7" t="s">
        <v>1074</v>
      </c>
      <c r="D133" s="3" t="s">
        <v>222</v>
      </c>
      <c r="E133" s="3" t="s">
        <v>1075</v>
      </c>
      <c r="F133" s="3" t="s">
        <v>449</v>
      </c>
      <c r="G133" s="3" t="s">
        <v>1076</v>
      </c>
      <c r="H133" s="3" t="s">
        <v>1077</v>
      </c>
      <c r="I133" s="3" t="s">
        <v>1078</v>
      </c>
      <c r="J133" s="3" t="s">
        <v>1078</v>
      </c>
      <c r="K133" s="3" t="s">
        <v>305</v>
      </c>
      <c r="L133" s="3" t="s">
        <v>221</v>
      </c>
    </row>
    <row r="134" spans="1:12">
      <c r="A134" s="3" t="s">
        <v>221</v>
      </c>
      <c r="B134" s="8" t="s">
        <v>51</v>
      </c>
      <c r="C134" s="7" t="s">
        <v>1079</v>
      </c>
      <c r="D134" s="3" t="s">
        <v>222</v>
      </c>
      <c r="E134" s="3" t="s">
        <v>1080</v>
      </c>
      <c r="F134" s="3" t="s">
        <v>708</v>
      </c>
      <c r="G134" s="3" t="s">
        <v>709</v>
      </c>
      <c r="H134" s="3" t="s">
        <v>710</v>
      </c>
      <c r="I134" s="3" t="s">
        <v>1081</v>
      </c>
      <c r="J134" s="3" t="s">
        <v>1081</v>
      </c>
      <c r="K134" s="3" t="s">
        <v>305</v>
      </c>
      <c r="L134" s="3" t="s">
        <v>221</v>
      </c>
    </row>
    <row r="135" spans="1:12">
      <c r="A135" s="3" t="s">
        <v>221</v>
      </c>
      <c r="B135" s="8" t="s">
        <v>51</v>
      </c>
      <c r="C135" s="7" t="s">
        <v>1082</v>
      </c>
      <c r="D135" s="3" t="s">
        <v>222</v>
      </c>
      <c r="E135" s="3" t="s">
        <v>1083</v>
      </c>
      <c r="F135" s="3" t="s">
        <v>550</v>
      </c>
      <c r="G135" s="3" t="s">
        <v>1084</v>
      </c>
      <c r="H135" s="3" t="s">
        <v>1085</v>
      </c>
      <c r="I135" s="3" t="s">
        <v>1086</v>
      </c>
      <c r="J135" s="3" t="s">
        <v>1086</v>
      </c>
      <c r="K135" s="3" t="s">
        <v>305</v>
      </c>
      <c r="L135" s="3" t="s">
        <v>221</v>
      </c>
    </row>
    <row r="136" spans="1:12">
      <c r="A136" s="3" t="s">
        <v>221</v>
      </c>
      <c r="B136" s="8" t="s">
        <v>51</v>
      </c>
      <c r="C136" s="7" t="s">
        <v>1087</v>
      </c>
      <c r="D136" s="3" t="s">
        <v>222</v>
      </c>
      <c r="E136" s="3" t="s">
        <v>1088</v>
      </c>
      <c r="F136" s="3" t="s">
        <v>557</v>
      </c>
      <c r="G136" s="3" t="s">
        <v>1089</v>
      </c>
      <c r="H136" s="3" t="s">
        <v>1090</v>
      </c>
      <c r="I136" s="3" t="s">
        <v>1091</v>
      </c>
      <c r="J136" s="3" t="s">
        <v>1091</v>
      </c>
      <c r="K136" s="3" t="s">
        <v>305</v>
      </c>
      <c r="L136" s="3" t="s">
        <v>221</v>
      </c>
    </row>
    <row r="137" spans="1:12">
      <c r="A137" s="3" t="s">
        <v>866</v>
      </c>
      <c r="B137" s="8" t="s">
        <v>51</v>
      </c>
      <c r="C137" s="7" t="s">
        <v>1092</v>
      </c>
      <c r="D137" s="3" t="s">
        <v>868</v>
      </c>
      <c r="E137" s="3" t="s">
        <v>1093</v>
      </c>
      <c r="F137" s="3" t="s">
        <v>1094</v>
      </c>
      <c r="G137" s="3" t="s">
        <v>1095</v>
      </c>
      <c r="H137" s="3" t="s">
        <v>1096</v>
      </c>
      <c r="I137" s="3" t="s">
        <v>1097</v>
      </c>
      <c r="J137" s="3" t="s">
        <v>1098</v>
      </c>
      <c r="K137" s="3" t="s">
        <v>874</v>
      </c>
      <c r="L137" s="3" t="s">
        <v>866</v>
      </c>
    </row>
    <row r="138" spans="1:12">
      <c r="A138" s="3" t="s">
        <v>866</v>
      </c>
      <c r="B138" s="8" t="s">
        <v>51</v>
      </c>
      <c r="C138" s="7" t="s">
        <v>1099</v>
      </c>
      <c r="D138" s="3" t="s">
        <v>868</v>
      </c>
      <c r="E138" s="3" t="s">
        <v>1100</v>
      </c>
      <c r="F138" s="3" t="s">
        <v>1101</v>
      </c>
      <c r="G138" s="3" t="s">
        <v>1102</v>
      </c>
      <c r="H138" s="3" t="s">
        <v>1103</v>
      </c>
      <c r="I138" s="3" t="s">
        <v>1104</v>
      </c>
      <c r="J138" s="3" t="s">
        <v>1105</v>
      </c>
      <c r="K138" s="3" t="s">
        <v>874</v>
      </c>
      <c r="L138" s="3" t="s">
        <v>866</v>
      </c>
    </row>
    <row r="139" spans="1:12">
      <c r="A139" s="3" t="s">
        <v>924</v>
      </c>
      <c r="B139" s="8" t="s">
        <v>51</v>
      </c>
      <c r="C139" s="7" t="s">
        <v>1106</v>
      </c>
      <c r="D139" s="3" t="s">
        <v>926</v>
      </c>
      <c r="E139" s="3" t="s">
        <v>1107</v>
      </c>
      <c r="F139" s="3"/>
      <c r="G139" s="3" t="s">
        <v>1108</v>
      </c>
      <c r="H139" s="3" t="s">
        <v>1109</v>
      </c>
      <c r="I139" s="3" t="s">
        <v>1106</v>
      </c>
      <c r="J139" s="3" t="s">
        <v>1110</v>
      </c>
      <c r="K139" s="3" t="s">
        <v>305</v>
      </c>
      <c r="L139" s="3" t="s">
        <v>924</v>
      </c>
    </row>
    <row r="140" spans="1:12">
      <c r="A140" s="3" t="s">
        <v>221</v>
      </c>
      <c r="B140" s="8" t="s">
        <v>51</v>
      </c>
      <c r="C140" s="7" t="s">
        <v>1111</v>
      </c>
      <c r="D140" s="3" t="s">
        <v>222</v>
      </c>
      <c r="E140" s="3" t="s">
        <v>1112</v>
      </c>
      <c r="F140" s="3" t="s">
        <v>632</v>
      </c>
      <c r="G140" s="3" t="s">
        <v>1113</v>
      </c>
      <c r="H140" s="3" t="s">
        <v>1114</v>
      </c>
      <c r="I140" s="3" t="s">
        <v>1115</v>
      </c>
      <c r="J140" s="3" t="s">
        <v>1115</v>
      </c>
      <c r="K140" s="3" t="s">
        <v>305</v>
      </c>
      <c r="L140" s="3" t="s">
        <v>221</v>
      </c>
    </row>
    <row r="141" spans="1:12">
      <c r="A141" s="3" t="s">
        <v>221</v>
      </c>
      <c r="B141" s="8" t="s">
        <v>51</v>
      </c>
      <c r="C141" s="7" t="s">
        <v>1116</v>
      </c>
      <c r="D141" s="3" t="s">
        <v>222</v>
      </c>
      <c r="E141" s="3" t="s">
        <v>1117</v>
      </c>
      <c r="F141" s="3" t="s">
        <v>536</v>
      </c>
      <c r="G141" s="3" t="s">
        <v>1118</v>
      </c>
      <c r="H141" s="3" t="s">
        <v>1119</v>
      </c>
      <c r="I141" s="3" t="s">
        <v>1120</v>
      </c>
      <c r="J141" s="3" t="s">
        <v>1120</v>
      </c>
      <c r="K141" s="3" t="s">
        <v>305</v>
      </c>
      <c r="L141" s="3" t="s">
        <v>221</v>
      </c>
    </row>
    <row r="142" spans="1:12">
      <c r="A142" s="3" t="s">
        <v>221</v>
      </c>
      <c r="B142" s="8" t="s">
        <v>51</v>
      </c>
      <c r="C142" s="7" t="s">
        <v>1121</v>
      </c>
      <c r="D142" s="3" t="s">
        <v>222</v>
      </c>
      <c r="E142" s="3" t="s">
        <v>1122</v>
      </c>
      <c r="F142" s="3" t="s">
        <v>667</v>
      </c>
      <c r="G142" s="3" t="s">
        <v>1123</v>
      </c>
      <c r="H142" s="3" t="s">
        <v>1124</v>
      </c>
      <c r="I142" s="3" t="s">
        <v>1125</v>
      </c>
      <c r="J142" s="3" t="s">
        <v>1125</v>
      </c>
      <c r="K142" s="3" t="s">
        <v>305</v>
      </c>
      <c r="L142" s="3" t="s">
        <v>221</v>
      </c>
    </row>
    <row r="143" spans="1:12">
      <c r="A143" s="3" t="s">
        <v>221</v>
      </c>
      <c r="B143" s="8" t="s">
        <v>51</v>
      </c>
      <c r="C143" s="7" t="s">
        <v>1126</v>
      </c>
      <c r="D143" s="3" t="s">
        <v>222</v>
      </c>
      <c r="E143" s="3" t="s">
        <v>1127</v>
      </c>
      <c r="F143" s="3" t="s">
        <v>323</v>
      </c>
      <c r="G143" s="3" t="s">
        <v>1128</v>
      </c>
      <c r="H143" s="3" t="s">
        <v>1129</v>
      </c>
      <c r="I143" s="3" t="s">
        <v>1130</v>
      </c>
      <c r="J143" s="3" t="s">
        <v>1130</v>
      </c>
      <c r="K143" s="3" t="s">
        <v>305</v>
      </c>
      <c r="L143" s="3" t="s">
        <v>221</v>
      </c>
    </row>
    <row r="144" spans="1:12">
      <c r="A144" s="3" t="s">
        <v>384</v>
      </c>
      <c r="B144" s="8" t="s">
        <v>51</v>
      </c>
      <c r="C144" s="7" t="s">
        <v>1131</v>
      </c>
      <c r="D144" s="3" t="s">
        <v>792</v>
      </c>
      <c r="E144" s="3" t="s">
        <v>1132</v>
      </c>
      <c r="F144" s="3"/>
      <c r="G144" s="3" t="s">
        <v>850</v>
      </c>
      <c r="H144" s="3" t="s">
        <v>851</v>
      </c>
      <c r="I144" s="3" t="s">
        <v>1133</v>
      </c>
      <c r="J144" s="3" t="s">
        <v>1134</v>
      </c>
      <c r="K144" s="3" t="s">
        <v>305</v>
      </c>
      <c r="L144" s="3" t="s">
        <v>384</v>
      </c>
    </row>
    <row r="145" spans="1:12">
      <c r="A145" s="3" t="s">
        <v>221</v>
      </c>
      <c r="B145" s="8" t="s">
        <v>51</v>
      </c>
      <c r="C145" s="7" t="s">
        <v>1135</v>
      </c>
      <c r="D145" s="3" t="s">
        <v>222</v>
      </c>
      <c r="E145" s="3" t="s">
        <v>1136</v>
      </c>
      <c r="F145" s="3" t="s">
        <v>536</v>
      </c>
      <c r="G145" s="3" t="s">
        <v>1118</v>
      </c>
      <c r="H145" s="3" t="s">
        <v>1137</v>
      </c>
      <c r="I145" s="3" t="s">
        <v>1138</v>
      </c>
      <c r="J145" s="3" t="s">
        <v>1138</v>
      </c>
      <c r="K145" s="3" t="s">
        <v>305</v>
      </c>
      <c r="L145" s="3" t="s">
        <v>221</v>
      </c>
    </row>
    <row r="146" spans="1:12">
      <c r="A146" s="3" t="s">
        <v>221</v>
      </c>
      <c r="B146" s="8" t="s">
        <v>51</v>
      </c>
      <c r="C146" s="7" t="s">
        <v>1139</v>
      </c>
      <c r="D146" s="3" t="s">
        <v>222</v>
      </c>
      <c r="E146" s="3" t="s">
        <v>1140</v>
      </c>
      <c r="F146" s="3" t="s">
        <v>632</v>
      </c>
      <c r="G146" s="3" t="s">
        <v>1141</v>
      </c>
      <c r="H146" s="3" t="s">
        <v>1142</v>
      </c>
      <c r="I146" s="3" t="s">
        <v>1143</v>
      </c>
      <c r="J146" s="3" t="s">
        <v>1143</v>
      </c>
      <c r="K146" s="3" t="s">
        <v>305</v>
      </c>
      <c r="L146" s="3" t="s">
        <v>221</v>
      </c>
    </row>
    <row r="147" spans="1:12">
      <c r="A147" s="3" t="s">
        <v>221</v>
      </c>
      <c r="B147" s="8" t="s">
        <v>51</v>
      </c>
      <c r="C147" s="7" t="s">
        <v>1144</v>
      </c>
      <c r="D147" s="3" t="s">
        <v>222</v>
      </c>
      <c r="E147" s="3" t="s">
        <v>1145</v>
      </c>
      <c r="F147" s="3" t="s">
        <v>607</v>
      </c>
      <c r="G147" s="3" t="s">
        <v>1146</v>
      </c>
      <c r="H147" s="3" t="s">
        <v>1147</v>
      </c>
      <c r="I147" s="3" t="s">
        <v>1148</v>
      </c>
      <c r="J147" s="3" t="s">
        <v>1148</v>
      </c>
      <c r="K147" s="3" t="s">
        <v>305</v>
      </c>
      <c r="L147" s="3" t="s">
        <v>221</v>
      </c>
    </row>
    <row r="148" spans="1:12">
      <c r="A148" s="3" t="s">
        <v>221</v>
      </c>
      <c r="B148" s="8" t="s">
        <v>51</v>
      </c>
      <c r="C148" s="7" t="s">
        <v>1149</v>
      </c>
      <c r="D148" s="3" t="s">
        <v>222</v>
      </c>
      <c r="E148" s="3" t="s">
        <v>1150</v>
      </c>
      <c r="F148" s="3" t="s">
        <v>766</v>
      </c>
      <c r="G148" s="3" t="s">
        <v>1151</v>
      </c>
      <c r="H148" s="3" t="s">
        <v>1152</v>
      </c>
      <c r="I148" s="3" t="s">
        <v>1153</v>
      </c>
      <c r="J148" s="3" t="s">
        <v>1153</v>
      </c>
      <c r="K148" s="3" t="s">
        <v>305</v>
      </c>
      <c r="L148" s="3" t="s">
        <v>221</v>
      </c>
    </row>
    <row r="149" spans="1:12">
      <c r="A149" s="3" t="s">
        <v>924</v>
      </c>
      <c r="B149" s="8" t="s">
        <v>51</v>
      </c>
      <c r="C149" s="7" t="s">
        <v>1154</v>
      </c>
      <c r="D149" s="3" t="s">
        <v>926</v>
      </c>
      <c r="E149" s="3" t="s">
        <v>1155</v>
      </c>
      <c r="F149" s="3"/>
      <c r="G149" s="3" t="s">
        <v>1156</v>
      </c>
      <c r="H149" s="3" t="s">
        <v>1157</v>
      </c>
      <c r="I149" s="3" t="s">
        <v>1158</v>
      </c>
      <c r="J149" s="3" t="s">
        <v>1159</v>
      </c>
      <c r="K149" s="3" t="s">
        <v>305</v>
      </c>
      <c r="L149" s="3" t="s">
        <v>924</v>
      </c>
    </row>
    <row r="150" spans="1:12">
      <c r="A150" s="3" t="s">
        <v>924</v>
      </c>
      <c r="B150" s="8" t="s">
        <v>51</v>
      </c>
      <c r="C150" s="7" t="s">
        <v>1160</v>
      </c>
      <c r="D150" s="3" t="s">
        <v>926</v>
      </c>
      <c r="E150" s="3" t="s">
        <v>1161</v>
      </c>
      <c r="F150" s="3"/>
      <c r="G150" s="3" t="s">
        <v>1162</v>
      </c>
      <c r="H150" s="3" t="s">
        <v>1163</v>
      </c>
      <c r="I150" s="3" t="s">
        <v>1158</v>
      </c>
      <c r="J150" s="3" t="s">
        <v>1164</v>
      </c>
      <c r="K150" s="3" t="s">
        <v>305</v>
      </c>
      <c r="L150" s="3" t="s">
        <v>924</v>
      </c>
    </row>
    <row r="151" spans="1:12">
      <c r="A151" s="3" t="s">
        <v>924</v>
      </c>
      <c r="B151" s="8" t="s">
        <v>51</v>
      </c>
      <c r="C151" s="7" t="s">
        <v>1165</v>
      </c>
      <c r="D151" s="3" t="s">
        <v>926</v>
      </c>
      <c r="E151" s="3" t="s">
        <v>1166</v>
      </c>
      <c r="F151" s="3"/>
      <c r="G151" s="3" t="s">
        <v>1167</v>
      </c>
      <c r="H151" s="3" t="s">
        <v>1168</v>
      </c>
      <c r="I151" s="3" t="s">
        <v>1158</v>
      </c>
      <c r="J151" s="3" t="s">
        <v>1169</v>
      </c>
      <c r="K151" s="3" t="s">
        <v>305</v>
      </c>
      <c r="L151" s="3" t="s">
        <v>924</v>
      </c>
    </row>
    <row r="152" spans="1:12">
      <c r="A152" s="3" t="s">
        <v>976</v>
      </c>
      <c r="B152" s="8" t="s">
        <v>51</v>
      </c>
      <c r="C152" s="7" t="s">
        <v>1170</v>
      </c>
      <c r="D152" s="3" t="s">
        <v>978</v>
      </c>
      <c r="E152" s="3" t="s">
        <v>1171</v>
      </c>
      <c r="F152" s="3" t="s">
        <v>1172</v>
      </c>
      <c r="G152" s="3" t="s">
        <v>1173</v>
      </c>
      <c r="H152" s="3" t="s">
        <v>1174</v>
      </c>
      <c r="I152" s="3" t="s">
        <v>1175</v>
      </c>
      <c r="J152" s="3" t="s">
        <v>1176</v>
      </c>
      <c r="K152" s="3" t="s">
        <v>305</v>
      </c>
      <c r="L152" s="3" t="s">
        <v>976</v>
      </c>
    </row>
    <row r="153" spans="1:12">
      <c r="A153" s="3" t="s">
        <v>221</v>
      </c>
      <c r="B153" s="8" t="s">
        <v>51</v>
      </c>
      <c r="C153" s="7" t="s">
        <v>1177</v>
      </c>
      <c r="D153" s="3" t="s">
        <v>222</v>
      </c>
      <c r="E153" s="3" t="s">
        <v>1178</v>
      </c>
      <c r="F153" s="3" t="s">
        <v>787</v>
      </c>
      <c r="G153" s="3" t="s">
        <v>1179</v>
      </c>
      <c r="H153" s="3" t="s">
        <v>1180</v>
      </c>
      <c r="I153" s="3" t="s">
        <v>1181</v>
      </c>
      <c r="J153" s="3" t="s">
        <v>1181</v>
      </c>
      <c r="K153" s="3" t="s">
        <v>305</v>
      </c>
      <c r="L153" s="3" t="s">
        <v>221</v>
      </c>
    </row>
    <row r="154" spans="1:12">
      <c r="A154" s="3" t="s">
        <v>866</v>
      </c>
      <c r="B154" s="8" t="s">
        <v>51</v>
      </c>
      <c r="C154" s="7" t="s">
        <v>1182</v>
      </c>
      <c r="D154" s="3" t="s">
        <v>868</v>
      </c>
      <c r="E154" s="3" t="s">
        <v>1183</v>
      </c>
      <c r="F154" s="3" t="s">
        <v>1184</v>
      </c>
      <c r="G154" s="3" t="s">
        <v>1185</v>
      </c>
      <c r="H154" s="3" t="s">
        <v>1186</v>
      </c>
      <c r="I154" s="3" t="s">
        <v>1187</v>
      </c>
      <c r="J154" s="3" t="s">
        <v>1188</v>
      </c>
      <c r="K154" s="3" t="s">
        <v>874</v>
      </c>
      <c r="L154" s="3" t="s">
        <v>866</v>
      </c>
    </row>
    <row r="155" spans="1:12">
      <c r="A155" s="3" t="s">
        <v>221</v>
      </c>
      <c r="B155" s="8" t="s">
        <v>51</v>
      </c>
      <c r="C155" s="7" t="s">
        <v>1189</v>
      </c>
      <c r="D155" s="3" t="s">
        <v>222</v>
      </c>
      <c r="E155" s="3" t="s">
        <v>1190</v>
      </c>
      <c r="F155" s="3" t="s">
        <v>323</v>
      </c>
      <c r="G155" s="3" t="s">
        <v>1191</v>
      </c>
      <c r="H155" s="3" t="s">
        <v>1192</v>
      </c>
      <c r="I155" s="3" t="s">
        <v>1193</v>
      </c>
      <c r="J155" s="3" t="s">
        <v>1193</v>
      </c>
      <c r="K155" s="3" t="s">
        <v>305</v>
      </c>
      <c r="L155" s="3" t="s">
        <v>221</v>
      </c>
    </row>
    <row r="156" spans="1:12">
      <c r="A156" s="3" t="s">
        <v>866</v>
      </c>
      <c r="B156" s="8" t="s">
        <v>51</v>
      </c>
      <c r="C156" s="7" t="s">
        <v>1194</v>
      </c>
      <c r="D156" s="3" t="s">
        <v>868</v>
      </c>
      <c r="E156" s="3" t="s">
        <v>1195</v>
      </c>
      <c r="F156" s="3"/>
      <c r="G156" s="3" t="s">
        <v>1196</v>
      </c>
      <c r="H156" s="3" t="s">
        <v>1197</v>
      </c>
      <c r="I156" s="3" t="s">
        <v>1198</v>
      </c>
      <c r="J156" s="3" t="s">
        <v>1199</v>
      </c>
      <c r="K156" s="3" t="s">
        <v>874</v>
      </c>
      <c r="L156" s="3" t="s">
        <v>866</v>
      </c>
    </row>
    <row r="157" spans="1:12">
      <c r="A157" s="3" t="s">
        <v>221</v>
      </c>
      <c r="B157" s="8" t="s">
        <v>51</v>
      </c>
      <c r="C157" s="7" t="s">
        <v>1200</v>
      </c>
      <c r="D157" s="3" t="s">
        <v>222</v>
      </c>
      <c r="E157" s="3" t="s">
        <v>1201</v>
      </c>
      <c r="F157" s="3" t="s">
        <v>550</v>
      </c>
      <c r="G157" s="3" t="s">
        <v>1202</v>
      </c>
      <c r="H157" s="3" t="s">
        <v>1203</v>
      </c>
      <c r="I157" s="3" t="s">
        <v>1204</v>
      </c>
      <c r="J157" s="3" t="s">
        <v>1204</v>
      </c>
      <c r="K157" s="3" t="s">
        <v>305</v>
      </c>
      <c r="L157" s="3" t="s">
        <v>221</v>
      </c>
    </row>
    <row r="158" spans="1:12">
      <c r="A158" s="3" t="s">
        <v>984</v>
      </c>
      <c r="B158" s="8" t="s">
        <v>51</v>
      </c>
      <c r="C158" s="7" t="s">
        <v>1205</v>
      </c>
      <c r="D158" s="3" t="s">
        <v>986</v>
      </c>
      <c r="E158" s="3" t="s">
        <v>1206</v>
      </c>
      <c r="F158" s="3"/>
      <c r="G158" s="3" t="s">
        <v>1207</v>
      </c>
      <c r="H158" s="3" t="s">
        <v>1208</v>
      </c>
      <c r="I158" s="3" t="s">
        <v>1209</v>
      </c>
      <c r="J158" s="3" t="s">
        <v>1210</v>
      </c>
      <c r="K158" s="3" t="s">
        <v>305</v>
      </c>
      <c r="L158" s="3" t="s">
        <v>984</v>
      </c>
    </row>
    <row r="159" spans="1:12">
      <c r="A159" s="3" t="s">
        <v>866</v>
      </c>
      <c r="B159" s="8" t="s">
        <v>51</v>
      </c>
      <c r="C159" s="7" t="s">
        <v>1211</v>
      </c>
      <c r="D159" s="3" t="s">
        <v>868</v>
      </c>
      <c r="E159" s="3" t="s">
        <v>1212</v>
      </c>
      <c r="F159" s="3" t="s">
        <v>1213</v>
      </c>
      <c r="G159" s="3" t="s">
        <v>1214</v>
      </c>
      <c r="H159" s="3" t="s">
        <v>1215</v>
      </c>
      <c r="I159" s="3" t="s">
        <v>1216</v>
      </c>
      <c r="J159" s="3" t="s">
        <v>1217</v>
      </c>
      <c r="K159" s="3" t="s">
        <v>874</v>
      </c>
      <c r="L159" s="3" t="s">
        <v>866</v>
      </c>
    </row>
    <row r="160" spans="1:12">
      <c r="A160" s="3" t="s">
        <v>1000</v>
      </c>
      <c r="B160" s="8" t="s">
        <v>51</v>
      </c>
      <c r="C160" s="7" t="s">
        <v>1218</v>
      </c>
      <c r="D160" s="3" t="s">
        <v>1002</v>
      </c>
      <c r="E160" s="3" t="s">
        <v>1219</v>
      </c>
      <c r="F160" s="3"/>
      <c r="G160" s="3" t="s">
        <v>1220</v>
      </c>
      <c r="H160" s="3" t="s">
        <v>1221</v>
      </c>
      <c r="I160" s="3" t="s">
        <v>1222</v>
      </c>
      <c r="J160" s="3" t="s">
        <v>1223</v>
      </c>
      <c r="K160" s="3" t="s">
        <v>305</v>
      </c>
      <c r="L160" s="3" t="s">
        <v>1000</v>
      </c>
    </row>
    <row r="161" spans="1:12">
      <c r="A161" s="3" t="s">
        <v>221</v>
      </c>
      <c r="B161" s="8" t="s">
        <v>51</v>
      </c>
      <c r="C161" s="7" t="s">
        <v>1224</v>
      </c>
      <c r="D161" s="3" t="s">
        <v>222</v>
      </c>
      <c r="E161" s="3" t="s">
        <v>1225</v>
      </c>
      <c r="F161" s="3" t="s">
        <v>715</v>
      </c>
      <c r="G161" s="3" t="s">
        <v>1226</v>
      </c>
      <c r="H161" s="3" t="s">
        <v>1227</v>
      </c>
      <c r="I161" s="3" t="s">
        <v>1228</v>
      </c>
      <c r="J161" s="3" t="s">
        <v>1228</v>
      </c>
      <c r="K161" s="3" t="s">
        <v>305</v>
      </c>
      <c r="L161" s="3" t="s">
        <v>221</v>
      </c>
    </row>
    <row r="162" spans="1:12">
      <c r="A162" s="3" t="s">
        <v>221</v>
      </c>
      <c r="B162" s="8" t="s">
        <v>51</v>
      </c>
      <c r="C162" s="7" t="s">
        <v>1229</v>
      </c>
      <c r="D162" s="3" t="s">
        <v>222</v>
      </c>
      <c r="E162" s="3" t="s">
        <v>1230</v>
      </c>
      <c r="F162" s="3" t="s">
        <v>416</v>
      </c>
      <c r="G162" s="3" t="s">
        <v>1231</v>
      </c>
      <c r="H162" s="3" t="s">
        <v>1232</v>
      </c>
      <c r="I162" s="3" t="s">
        <v>1233</v>
      </c>
      <c r="J162" s="3" t="s">
        <v>1233</v>
      </c>
      <c r="K162" s="3" t="s">
        <v>305</v>
      </c>
      <c r="L162" s="3" t="s">
        <v>221</v>
      </c>
    </row>
    <row r="163" spans="1:12">
      <c r="A163" s="3" t="s">
        <v>221</v>
      </c>
      <c r="B163" s="8" t="s">
        <v>51</v>
      </c>
      <c r="C163" s="7" t="s">
        <v>1234</v>
      </c>
      <c r="D163" s="3" t="s">
        <v>222</v>
      </c>
      <c r="E163" s="3" t="s">
        <v>1235</v>
      </c>
      <c r="F163" s="3" t="s">
        <v>607</v>
      </c>
      <c r="G163" s="3" t="s">
        <v>620</v>
      </c>
      <c r="H163" s="3" t="s">
        <v>1236</v>
      </c>
      <c r="I163" s="3" t="s">
        <v>1237</v>
      </c>
      <c r="J163" s="3" t="s">
        <v>1237</v>
      </c>
      <c r="K163" s="3" t="s">
        <v>305</v>
      </c>
      <c r="L163" s="3" t="s">
        <v>221</v>
      </c>
    </row>
    <row r="164" spans="1:12">
      <c r="A164" s="3" t="s">
        <v>866</v>
      </c>
      <c r="B164" s="8" t="s">
        <v>51</v>
      </c>
      <c r="C164" s="7" t="s">
        <v>1238</v>
      </c>
      <c r="D164" s="3" t="s">
        <v>868</v>
      </c>
      <c r="E164" s="3" t="s">
        <v>1239</v>
      </c>
      <c r="F164" s="3" t="s">
        <v>1213</v>
      </c>
      <c r="G164" s="3" t="s">
        <v>1240</v>
      </c>
      <c r="H164" s="3" t="s">
        <v>1241</v>
      </c>
      <c r="I164" s="3" t="s">
        <v>1242</v>
      </c>
      <c r="J164" s="3" t="s">
        <v>1243</v>
      </c>
      <c r="K164" s="3" t="s">
        <v>874</v>
      </c>
      <c r="L164" s="3" t="s">
        <v>866</v>
      </c>
    </row>
    <row r="165" spans="1:12">
      <c r="A165" s="3" t="s">
        <v>221</v>
      </c>
      <c r="B165" s="8" t="s">
        <v>51</v>
      </c>
      <c r="C165" s="7" t="s">
        <v>1244</v>
      </c>
      <c r="D165" s="3" t="s">
        <v>222</v>
      </c>
      <c r="E165" s="3" t="s">
        <v>1245</v>
      </c>
      <c r="F165" s="3" t="s">
        <v>505</v>
      </c>
      <c r="G165" s="3" t="s">
        <v>1246</v>
      </c>
      <c r="H165" s="3" t="s">
        <v>1247</v>
      </c>
      <c r="I165" s="3" t="s">
        <v>1248</v>
      </c>
      <c r="J165" s="3" t="s">
        <v>1248</v>
      </c>
      <c r="K165" s="3" t="s">
        <v>305</v>
      </c>
      <c r="L165" s="3" t="s">
        <v>221</v>
      </c>
    </row>
    <row r="166" spans="1:12">
      <c r="A166" s="3" t="s">
        <v>221</v>
      </c>
      <c r="B166" s="8" t="s">
        <v>51</v>
      </c>
      <c r="C166" s="7" t="s">
        <v>1249</v>
      </c>
      <c r="D166" s="3" t="s">
        <v>222</v>
      </c>
      <c r="E166" s="3" t="s">
        <v>1250</v>
      </c>
      <c r="F166" s="3" t="s">
        <v>1251</v>
      </c>
      <c r="G166" s="3" t="s">
        <v>1252</v>
      </c>
      <c r="H166" s="3" t="s">
        <v>1253</v>
      </c>
      <c r="I166" s="3" t="s">
        <v>1254</v>
      </c>
      <c r="J166" s="3" t="s">
        <v>1254</v>
      </c>
      <c r="K166" s="3" t="s">
        <v>305</v>
      </c>
      <c r="L166" s="3" t="s">
        <v>221</v>
      </c>
    </row>
    <row r="167" spans="1:12">
      <c r="A167" s="3" t="s">
        <v>866</v>
      </c>
      <c r="B167" s="8" t="s">
        <v>51</v>
      </c>
      <c r="C167" s="7" t="s">
        <v>1255</v>
      </c>
      <c r="D167" s="3" t="s">
        <v>868</v>
      </c>
      <c r="E167" s="3" t="s">
        <v>1256</v>
      </c>
      <c r="F167" s="3"/>
      <c r="G167" s="3" t="s">
        <v>1185</v>
      </c>
      <c r="H167" s="3" t="s">
        <v>1257</v>
      </c>
      <c r="I167" s="3" t="s">
        <v>1258</v>
      </c>
      <c r="J167" s="3" t="s">
        <v>1259</v>
      </c>
      <c r="K167" s="3" t="s">
        <v>874</v>
      </c>
      <c r="L167" s="3" t="s">
        <v>866</v>
      </c>
    </row>
    <row r="168" spans="1:12">
      <c r="A168" s="3" t="s">
        <v>221</v>
      </c>
      <c r="B168" s="8" t="s">
        <v>51</v>
      </c>
      <c r="C168" s="7" t="s">
        <v>1260</v>
      </c>
      <c r="D168" s="3" t="s">
        <v>222</v>
      </c>
      <c r="E168" s="3" t="s">
        <v>1261</v>
      </c>
      <c r="F168" s="3" t="s">
        <v>505</v>
      </c>
      <c r="G168" s="3" t="s">
        <v>1262</v>
      </c>
      <c r="H168" s="3" t="s">
        <v>1263</v>
      </c>
      <c r="I168" s="3" t="s">
        <v>1264</v>
      </c>
      <c r="J168" s="3" t="s">
        <v>1264</v>
      </c>
      <c r="K168" s="3" t="s">
        <v>305</v>
      </c>
      <c r="L168" s="3" t="s">
        <v>221</v>
      </c>
    </row>
    <row r="169" spans="1:12">
      <c r="A169" s="3" t="s">
        <v>984</v>
      </c>
      <c r="B169" s="8" t="s">
        <v>51</v>
      </c>
      <c r="C169" s="7" t="s">
        <v>1265</v>
      </c>
      <c r="D169" s="3" t="s">
        <v>986</v>
      </c>
      <c r="E169" s="3" t="s">
        <v>1266</v>
      </c>
      <c r="F169" s="3" t="s">
        <v>1267</v>
      </c>
      <c r="G169" s="3" t="s">
        <v>1268</v>
      </c>
      <c r="H169" s="3" t="s">
        <v>1269</v>
      </c>
      <c r="I169" s="3" t="s">
        <v>1270</v>
      </c>
      <c r="J169" s="3" t="s">
        <v>1271</v>
      </c>
      <c r="K169" s="3" t="s">
        <v>305</v>
      </c>
      <c r="L169" s="3" t="s">
        <v>984</v>
      </c>
    </row>
    <row r="170" spans="1:12">
      <c r="A170" s="3" t="s">
        <v>924</v>
      </c>
      <c r="B170" s="8" t="s">
        <v>51</v>
      </c>
      <c r="C170" s="7" t="s">
        <v>1272</v>
      </c>
      <c r="D170" s="3" t="s">
        <v>926</v>
      </c>
      <c r="E170" s="3" t="s">
        <v>1273</v>
      </c>
      <c r="F170" s="3" t="s">
        <v>1274</v>
      </c>
      <c r="G170" s="3" t="s">
        <v>1275</v>
      </c>
      <c r="H170" s="3" t="s">
        <v>1276</v>
      </c>
      <c r="I170" s="3" t="s">
        <v>1277</v>
      </c>
      <c r="J170" s="3" t="s">
        <v>1278</v>
      </c>
      <c r="K170" s="3" t="s">
        <v>305</v>
      </c>
      <c r="L170" s="3" t="s">
        <v>924</v>
      </c>
    </row>
    <row r="171" spans="1:12">
      <c r="A171" s="3" t="s">
        <v>221</v>
      </c>
      <c r="B171" s="8" t="s">
        <v>51</v>
      </c>
      <c r="C171" s="7" t="s">
        <v>1279</v>
      </c>
      <c r="D171" s="3" t="s">
        <v>222</v>
      </c>
      <c r="E171" s="3" t="s">
        <v>1280</v>
      </c>
      <c r="F171" s="3" t="s">
        <v>632</v>
      </c>
      <c r="G171" s="3" t="s">
        <v>645</v>
      </c>
      <c r="H171" s="3" t="s">
        <v>646</v>
      </c>
      <c r="I171" s="3" t="s">
        <v>1281</v>
      </c>
      <c r="J171" s="3" t="s">
        <v>1281</v>
      </c>
      <c r="K171" s="3" t="s">
        <v>305</v>
      </c>
      <c r="L171" s="3" t="s">
        <v>221</v>
      </c>
    </row>
    <row r="172" spans="1:12">
      <c r="A172" s="3" t="s">
        <v>866</v>
      </c>
      <c r="B172" s="8" t="s">
        <v>51</v>
      </c>
      <c r="C172" s="7" t="s">
        <v>1282</v>
      </c>
      <c r="D172" s="3" t="s">
        <v>868</v>
      </c>
      <c r="E172" s="3" t="s">
        <v>1283</v>
      </c>
      <c r="F172" s="3" t="s">
        <v>1213</v>
      </c>
      <c r="G172" s="3" t="s">
        <v>1284</v>
      </c>
      <c r="H172" s="3" t="s">
        <v>1285</v>
      </c>
      <c r="I172" s="3" t="s">
        <v>1286</v>
      </c>
      <c r="J172" s="3" t="s">
        <v>1287</v>
      </c>
      <c r="K172" s="3" t="s">
        <v>874</v>
      </c>
      <c r="L172" s="3" t="s">
        <v>866</v>
      </c>
    </row>
    <row r="173" spans="1:12">
      <c r="A173" s="3" t="s">
        <v>984</v>
      </c>
      <c r="B173" s="8" t="s">
        <v>51</v>
      </c>
      <c r="C173" s="7" t="s">
        <v>1288</v>
      </c>
      <c r="D173" s="3" t="s">
        <v>986</v>
      </c>
      <c r="E173" s="3" t="s">
        <v>1289</v>
      </c>
      <c r="F173" s="3" t="s">
        <v>1290</v>
      </c>
      <c r="G173" s="3" t="s">
        <v>1291</v>
      </c>
      <c r="H173" s="3" t="s">
        <v>1292</v>
      </c>
      <c r="I173" s="3" t="s">
        <v>1293</v>
      </c>
      <c r="J173" s="3" t="s">
        <v>1294</v>
      </c>
      <c r="K173" s="3" t="s">
        <v>305</v>
      </c>
      <c r="L173" s="3" t="s">
        <v>984</v>
      </c>
    </row>
    <row r="174" spans="1:12">
      <c r="A174" s="3" t="s">
        <v>221</v>
      </c>
      <c r="B174" s="8" t="s">
        <v>51</v>
      </c>
      <c r="C174" s="7" t="s">
        <v>1295</v>
      </c>
      <c r="D174" s="3" t="s">
        <v>222</v>
      </c>
      <c r="E174" s="3" t="s">
        <v>1296</v>
      </c>
      <c r="F174" s="3"/>
      <c r="G174" s="3" t="s">
        <v>1297</v>
      </c>
      <c r="H174" s="3" t="s">
        <v>1298</v>
      </c>
      <c r="I174" s="3" t="s">
        <v>1299</v>
      </c>
      <c r="J174" s="3" t="s">
        <v>1299</v>
      </c>
      <c r="K174" s="3" t="s">
        <v>305</v>
      </c>
      <c r="L174" s="3" t="s">
        <v>221</v>
      </c>
    </row>
    <row r="175" spans="1:12">
      <c r="A175" s="3" t="s">
        <v>384</v>
      </c>
      <c r="B175" s="8" t="s">
        <v>51</v>
      </c>
      <c r="C175" s="7" t="s">
        <v>1300</v>
      </c>
      <c r="D175" s="3" t="s">
        <v>792</v>
      </c>
      <c r="E175" s="3" t="s">
        <v>844</v>
      </c>
      <c r="F175" s="3" t="s">
        <v>839</v>
      </c>
      <c r="G175" s="3" t="s">
        <v>838</v>
      </c>
      <c r="H175" s="3" t="s">
        <v>840</v>
      </c>
      <c r="I175" s="3" t="s">
        <v>1301</v>
      </c>
      <c r="J175" s="3" t="s">
        <v>1302</v>
      </c>
      <c r="K175" s="3" t="s">
        <v>305</v>
      </c>
      <c r="L175" s="3" t="s">
        <v>384</v>
      </c>
    </row>
    <row r="176" spans="1:12">
      <c r="A176" s="3" t="s">
        <v>221</v>
      </c>
      <c r="B176" s="8" t="s">
        <v>51</v>
      </c>
      <c r="C176" s="7" t="s">
        <v>1303</v>
      </c>
      <c r="D176" s="3" t="s">
        <v>222</v>
      </c>
      <c r="E176" s="3" t="s">
        <v>1304</v>
      </c>
      <c r="F176" s="3" t="s">
        <v>536</v>
      </c>
      <c r="G176" s="3" t="s">
        <v>1305</v>
      </c>
      <c r="H176" s="3" t="s">
        <v>1306</v>
      </c>
      <c r="I176" s="3" t="s">
        <v>1307</v>
      </c>
      <c r="J176" s="3" t="s">
        <v>1307</v>
      </c>
      <c r="K176" s="3" t="s">
        <v>305</v>
      </c>
      <c r="L176" s="3" t="s">
        <v>221</v>
      </c>
    </row>
    <row r="177" spans="1:12">
      <c r="A177" s="3" t="s">
        <v>384</v>
      </c>
      <c r="B177" s="8" t="s">
        <v>51</v>
      </c>
      <c r="C177" s="7" t="s">
        <v>1308</v>
      </c>
      <c r="D177" s="3" t="s">
        <v>792</v>
      </c>
      <c r="E177" s="3" t="s">
        <v>1309</v>
      </c>
      <c r="F177" s="3" t="s">
        <v>1310</v>
      </c>
      <c r="G177" s="3" t="s">
        <v>1311</v>
      </c>
      <c r="H177" s="3" t="s">
        <v>1312</v>
      </c>
      <c r="I177" s="3" t="s">
        <v>1313</v>
      </c>
      <c r="J177" s="3" t="s">
        <v>1314</v>
      </c>
      <c r="K177" s="3" t="s">
        <v>305</v>
      </c>
      <c r="L177" s="3" t="s">
        <v>384</v>
      </c>
    </row>
    <row r="178" spans="1:12">
      <c r="A178" s="3" t="s">
        <v>221</v>
      </c>
      <c r="B178" s="8" t="s">
        <v>51</v>
      </c>
      <c r="C178" s="7" t="s">
        <v>1315</v>
      </c>
      <c r="D178" s="3" t="s">
        <v>222</v>
      </c>
      <c r="E178" s="3" t="s">
        <v>1316</v>
      </c>
      <c r="F178" s="3" t="s">
        <v>1317</v>
      </c>
      <c r="G178" s="3" t="s">
        <v>1318</v>
      </c>
      <c r="H178" s="3" t="s">
        <v>1319</v>
      </c>
      <c r="I178" s="3" t="s">
        <v>1320</v>
      </c>
      <c r="J178" s="3" t="s">
        <v>1320</v>
      </c>
      <c r="K178" s="3" t="s">
        <v>305</v>
      </c>
      <c r="L178" s="3" t="s">
        <v>221</v>
      </c>
    </row>
    <row r="179" spans="1:12">
      <c r="A179" s="3" t="s">
        <v>221</v>
      </c>
      <c r="B179" s="8" t="s">
        <v>51</v>
      </c>
      <c r="C179" s="7" t="s">
        <v>1321</v>
      </c>
      <c r="D179" s="3" t="s">
        <v>222</v>
      </c>
      <c r="E179" s="3" t="s">
        <v>1322</v>
      </c>
      <c r="F179" s="3" t="s">
        <v>787</v>
      </c>
      <c r="G179" s="3" t="s">
        <v>1323</v>
      </c>
      <c r="H179" s="3" t="s">
        <v>1324</v>
      </c>
      <c r="I179" s="3" t="s">
        <v>1325</v>
      </c>
      <c r="J179" s="3" t="s">
        <v>1325</v>
      </c>
      <c r="K179" s="3" t="s">
        <v>305</v>
      </c>
      <c r="L179" s="3" t="s">
        <v>221</v>
      </c>
    </row>
    <row r="180" spans="1:12">
      <c r="A180" s="3" t="s">
        <v>221</v>
      </c>
      <c r="B180" s="8" t="s">
        <v>51</v>
      </c>
      <c r="C180" s="7" t="s">
        <v>1326</v>
      </c>
      <c r="D180" s="3" t="s">
        <v>222</v>
      </c>
      <c r="E180" s="3" t="s">
        <v>1327</v>
      </c>
      <c r="F180" s="3" t="s">
        <v>550</v>
      </c>
      <c r="G180" s="3" t="s">
        <v>1328</v>
      </c>
      <c r="H180" s="3" t="s">
        <v>1329</v>
      </c>
      <c r="I180" s="3" t="s">
        <v>1330</v>
      </c>
      <c r="J180" s="3" t="s">
        <v>1330</v>
      </c>
      <c r="K180" s="3" t="s">
        <v>305</v>
      </c>
      <c r="L180" s="3" t="s">
        <v>221</v>
      </c>
    </row>
    <row r="181" spans="1:12">
      <c r="A181" s="3" t="s">
        <v>221</v>
      </c>
      <c r="B181" s="8" t="s">
        <v>51</v>
      </c>
      <c r="C181" s="7" t="s">
        <v>1331</v>
      </c>
      <c r="D181" s="3" t="s">
        <v>222</v>
      </c>
      <c r="E181" s="3" t="s">
        <v>1332</v>
      </c>
      <c r="F181" s="3" t="s">
        <v>667</v>
      </c>
      <c r="G181" s="3" t="s">
        <v>1333</v>
      </c>
      <c r="H181" s="3" t="s">
        <v>1334</v>
      </c>
      <c r="I181" s="3" t="s">
        <v>1335</v>
      </c>
      <c r="J181" s="3" t="s">
        <v>1335</v>
      </c>
      <c r="K181" s="3" t="s">
        <v>305</v>
      </c>
      <c r="L181" s="3" t="s">
        <v>221</v>
      </c>
    </row>
    <row r="182" spans="1:12">
      <c r="A182" s="3" t="s">
        <v>221</v>
      </c>
      <c r="B182" s="8" t="s">
        <v>51</v>
      </c>
      <c r="C182" s="7" t="s">
        <v>1336</v>
      </c>
      <c r="D182" s="3" t="s">
        <v>222</v>
      </c>
      <c r="E182" s="3" t="s">
        <v>1337</v>
      </c>
      <c r="F182" s="3" t="s">
        <v>766</v>
      </c>
      <c r="G182" s="3" t="s">
        <v>1338</v>
      </c>
      <c r="H182" s="3" t="s">
        <v>1339</v>
      </c>
      <c r="I182" s="3" t="s">
        <v>1340</v>
      </c>
      <c r="J182" s="3" t="s">
        <v>1340</v>
      </c>
      <c r="K182" s="3" t="s">
        <v>305</v>
      </c>
      <c r="L182" s="3" t="s">
        <v>221</v>
      </c>
    </row>
    <row r="183" spans="1:12">
      <c r="A183" s="3" t="s">
        <v>866</v>
      </c>
      <c r="B183" s="8" t="s">
        <v>51</v>
      </c>
      <c r="C183" s="7" t="s">
        <v>1341</v>
      </c>
      <c r="D183" s="3" t="s">
        <v>868</v>
      </c>
      <c r="E183" s="3" t="s">
        <v>1342</v>
      </c>
      <c r="F183" s="3" t="s">
        <v>1343</v>
      </c>
      <c r="G183" s="3" t="s">
        <v>1344</v>
      </c>
      <c r="H183" s="3" t="s">
        <v>1345</v>
      </c>
      <c r="I183" s="3" t="s">
        <v>1346</v>
      </c>
      <c r="J183" s="3" t="s">
        <v>1347</v>
      </c>
      <c r="K183" s="3" t="s">
        <v>874</v>
      </c>
      <c r="L183" s="3" t="s">
        <v>866</v>
      </c>
    </row>
    <row r="184" spans="1:12">
      <c r="A184" s="3" t="s">
        <v>976</v>
      </c>
      <c r="B184" s="8" t="s">
        <v>51</v>
      </c>
      <c r="C184" s="7" t="s">
        <v>1348</v>
      </c>
      <c r="D184" s="3" t="s">
        <v>978</v>
      </c>
      <c r="E184" s="3" t="s">
        <v>1349</v>
      </c>
      <c r="F184" s="3"/>
      <c r="G184" s="3" t="s">
        <v>1350</v>
      </c>
      <c r="H184" s="3" t="s">
        <v>1351</v>
      </c>
      <c r="I184" s="3" t="s">
        <v>1352</v>
      </c>
      <c r="J184" s="3" t="s">
        <v>1353</v>
      </c>
      <c r="K184" s="3" t="s">
        <v>305</v>
      </c>
      <c r="L184" s="3" t="s">
        <v>976</v>
      </c>
    </row>
    <row r="185" spans="1:12">
      <c r="A185" s="3" t="s">
        <v>221</v>
      </c>
      <c r="B185" s="8" t="s">
        <v>51</v>
      </c>
      <c r="C185" s="7" t="s">
        <v>1354</v>
      </c>
      <c r="D185" s="3" t="s">
        <v>222</v>
      </c>
      <c r="E185" s="3" t="s">
        <v>1355</v>
      </c>
      <c r="F185" s="3" t="s">
        <v>557</v>
      </c>
      <c r="G185" s="3" t="s">
        <v>1356</v>
      </c>
      <c r="H185" s="3" t="s">
        <v>1357</v>
      </c>
      <c r="I185" s="3" t="s">
        <v>1358</v>
      </c>
      <c r="J185" s="3" t="s">
        <v>1358</v>
      </c>
      <c r="K185" s="3" t="s">
        <v>305</v>
      </c>
      <c r="L185" s="3" t="s">
        <v>221</v>
      </c>
    </row>
    <row r="186" spans="1:12">
      <c r="A186" s="3" t="s">
        <v>221</v>
      </c>
      <c r="B186" s="8" t="s">
        <v>51</v>
      </c>
      <c r="C186" s="7" t="s">
        <v>1359</v>
      </c>
      <c r="D186" s="3" t="s">
        <v>222</v>
      </c>
      <c r="E186" s="3" t="s">
        <v>1360</v>
      </c>
      <c r="F186" s="3" t="s">
        <v>708</v>
      </c>
      <c r="G186" s="3" t="s">
        <v>1361</v>
      </c>
      <c r="H186" s="3" t="s">
        <v>1362</v>
      </c>
      <c r="I186" s="3" t="s">
        <v>1363</v>
      </c>
      <c r="J186" s="3" t="s">
        <v>1363</v>
      </c>
      <c r="K186" s="3" t="s">
        <v>305</v>
      </c>
      <c r="L186" s="3" t="s">
        <v>221</v>
      </c>
    </row>
    <row r="187" spans="1:12">
      <c r="A187" s="3" t="s">
        <v>984</v>
      </c>
      <c r="B187" s="8" t="s">
        <v>51</v>
      </c>
      <c r="C187" s="7" t="s">
        <v>1364</v>
      </c>
      <c r="D187" s="3" t="s">
        <v>986</v>
      </c>
      <c r="E187" s="3" t="s">
        <v>1365</v>
      </c>
      <c r="F187" s="3" t="s">
        <v>1290</v>
      </c>
      <c r="G187" s="3" t="s">
        <v>1366</v>
      </c>
      <c r="H187" s="3" t="s">
        <v>1367</v>
      </c>
      <c r="I187" s="3" t="s">
        <v>1368</v>
      </c>
      <c r="J187" s="3" t="s">
        <v>1369</v>
      </c>
      <c r="K187" s="3" t="s">
        <v>305</v>
      </c>
      <c r="L187" s="3" t="s">
        <v>984</v>
      </c>
    </row>
    <row r="188" spans="1:12">
      <c r="A188" s="3" t="s">
        <v>976</v>
      </c>
      <c r="B188" s="8" t="s">
        <v>51</v>
      </c>
      <c r="C188" s="7" t="s">
        <v>1370</v>
      </c>
      <c r="D188" s="3" t="s">
        <v>978</v>
      </c>
      <c r="E188" s="3" t="s">
        <v>1371</v>
      </c>
      <c r="F188" s="3" t="s">
        <v>1372</v>
      </c>
      <c r="G188" s="3" t="s">
        <v>1373</v>
      </c>
      <c r="H188" s="3" t="s">
        <v>1374</v>
      </c>
      <c r="I188" s="3" t="s">
        <v>1375</v>
      </c>
      <c r="J188" s="3" t="s">
        <v>1376</v>
      </c>
      <c r="K188" s="3" t="s">
        <v>305</v>
      </c>
      <c r="L188" s="3" t="s">
        <v>976</v>
      </c>
    </row>
    <row r="189" spans="1:12">
      <c r="A189" s="3" t="s">
        <v>820</v>
      </c>
      <c r="B189" s="8" t="s">
        <v>51</v>
      </c>
      <c r="C189" s="7" t="s">
        <v>1377</v>
      </c>
      <c r="D189" s="3" t="s">
        <v>822</v>
      </c>
      <c r="E189" s="3" t="s">
        <v>1378</v>
      </c>
      <c r="F189" s="3" t="s">
        <v>1379</v>
      </c>
      <c r="G189" s="3" t="s">
        <v>1380</v>
      </c>
      <c r="H189" s="3" t="s">
        <v>1381</v>
      </c>
      <c r="I189" s="3" t="s">
        <v>1382</v>
      </c>
      <c r="J189" s="3" t="s">
        <v>1383</v>
      </c>
      <c r="K189" s="3" t="s">
        <v>305</v>
      </c>
      <c r="L189" s="3" t="s">
        <v>820</v>
      </c>
    </row>
    <row r="190" spans="1:12">
      <c r="A190" s="3" t="s">
        <v>221</v>
      </c>
      <c r="B190" s="8" t="s">
        <v>51</v>
      </c>
      <c r="C190" s="7" t="s">
        <v>1384</v>
      </c>
      <c r="D190" s="3" t="s">
        <v>222</v>
      </c>
      <c r="E190" s="3" t="s">
        <v>1385</v>
      </c>
      <c r="F190" s="3" t="s">
        <v>397</v>
      </c>
      <c r="G190" s="3" t="s">
        <v>1386</v>
      </c>
      <c r="H190" s="3" t="s">
        <v>1387</v>
      </c>
      <c r="I190" s="3" t="s">
        <v>1388</v>
      </c>
      <c r="J190" s="3" t="s">
        <v>1388</v>
      </c>
      <c r="K190" s="3" t="s">
        <v>305</v>
      </c>
      <c r="L190" s="3" t="s">
        <v>221</v>
      </c>
    </row>
    <row r="191" spans="1:12">
      <c r="A191" s="3" t="s">
        <v>984</v>
      </c>
      <c r="B191" s="8" t="s">
        <v>51</v>
      </c>
      <c r="C191" s="7" t="s">
        <v>1389</v>
      </c>
      <c r="D191" s="3" t="s">
        <v>986</v>
      </c>
      <c r="E191" s="3" t="s">
        <v>1390</v>
      </c>
      <c r="F191" s="3"/>
      <c r="G191" s="3" t="s">
        <v>1391</v>
      </c>
      <c r="H191" s="3" t="s">
        <v>1392</v>
      </c>
      <c r="I191" s="3" t="s">
        <v>1393</v>
      </c>
      <c r="J191" s="3" t="s">
        <v>1394</v>
      </c>
      <c r="K191" s="3" t="s">
        <v>305</v>
      </c>
      <c r="L191" s="3" t="s">
        <v>984</v>
      </c>
    </row>
    <row r="192" spans="1:12">
      <c r="A192" s="3" t="s">
        <v>384</v>
      </c>
      <c r="B192" s="8" t="s">
        <v>51</v>
      </c>
      <c r="C192" s="7" t="s">
        <v>1395</v>
      </c>
      <c r="D192" s="3" t="s">
        <v>792</v>
      </c>
      <c r="E192" s="3" t="s">
        <v>1396</v>
      </c>
      <c r="F192" s="3"/>
      <c r="G192" s="3" t="s">
        <v>1397</v>
      </c>
      <c r="H192" s="3" t="s">
        <v>1398</v>
      </c>
      <c r="I192" s="3" t="s">
        <v>1399</v>
      </c>
      <c r="J192" s="3" t="s">
        <v>1400</v>
      </c>
      <c r="K192" s="3" t="s">
        <v>305</v>
      </c>
      <c r="L192" s="3" t="s">
        <v>384</v>
      </c>
    </row>
    <row r="193" spans="1:12">
      <c r="A193" s="3" t="s">
        <v>221</v>
      </c>
      <c r="B193" s="8" t="s">
        <v>51</v>
      </c>
      <c r="C193" s="7" t="s">
        <v>1401</v>
      </c>
      <c r="D193" s="3" t="s">
        <v>222</v>
      </c>
      <c r="E193" s="3" t="s">
        <v>1402</v>
      </c>
      <c r="F193" s="3" t="s">
        <v>1317</v>
      </c>
      <c r="G193" s="3" t="s">
        <v>1403</v>
      </c>
      <c r="H193" s="3" t="s">
        <v>1404</v>
      </c>
      <c r="I193" s="3" t="s">
        <v>1405</v>
      </c>
      <c r="J193" s="3" t="s">
        <v>1405</v>
      </c>
      <c r="K193" s="3" t="s">
        <v>305</v>
      </c>
      <c r="L193" s="3" t="s">
        <v>221</v>
      </c>
    </row>
    <row r="194" spans="1:12">
      <c r="A194" s="3" t="s">
        <v>221</v>
      </c>
      <c r="B194" s="8" t="s">
        <v>51</v>
      </c>
      <c r="C194" s="7" t="s">
        <v>1406</v>
      </c>
      <c r="D194" s="3" t="s">
        <v>222</v>
      </c>
      <c r="E194" s="3" t="s">
        <v>1407</v>
      </c>
      <c r="F194" s="3" t="s">
        <v>1408</v>
      </c>
      <c r="G194" s="3" t="s">
        <v>1409</v>
      </c>
      <c r="H194" s="3" t="s">
        <v>1410</v>
      </c>
      <c r="I194" s="3" t="s">
        <v>1411</v>
      </c>
      <c r="J194" s="3" t="s">
        <v>1411</v>
      </c>
      <c r="K194" s="3" t="s">
        <v>305</v>
      </c>
      <c r="L194" s="3" t="s">
        <v>221</v>
      </c>
    </row>
    <row r="195" spans="1:12">
      <c r="A195" s="3" t="s">
        <v>221</v>
      </c>
      <c r="B195" s="8" t="s">
        <v>51</v>
      </c>
      <c r="C195" s="7" t="s">
        <v>1412</v>
      </c>
      <c r="D195" s="3" t="s">
        <v>222</v>
      </c>
      <c r="E195" s="3" t="s">
        <v>1413</v>
      </c>
      <c r="F195" s="3" t="s">
        <v>397</v>
      </c>
      <c r="G195" s="3" t="s">
        <v>1414</v>
      </c>
      <c r="H195" s="3" t="s">
        <v>1415</v>
      </c>
      <c r="I195" s="3" t="s">
        <v>1416</v>
      </c>
      <c r="J195" s="3" t="s">
        <v>1416</v>
      </c>
      <c r="K195" s="3" t="s">
        <v>305</v>
      </c>
      <c r="L195" s="3" t="s">
        <v>221</v>
      </c>
    </row>
    <row r="196" spans="1:12">
      <c r="A196" s="3" t="s">
        <v>866</v>
      </c>
      <c r="B196" s="8" t="s">
        <v>51</v>
      </c>
      <c r="C196" s="7" t="s">
        <v>1417</v>
      </c>
      <c r="D196" s="3" t="s">
        <v>868</v>
      </c>
      <c r="E196" s="3" t="s">
        <v>1418</v>
      </c>
      <c r="F196" s="3" t="s">
        <v>1419</v>
      </c>
      <c r="G196" s="3" t="s">
        <v>1420</v>
      </c>
      <c r="H196" s="3" t="s">
        <v>1421</v>
      </c>
      <c r="I196" s="3" t="s">
        <v>1422</v>
      </c>
      <c r="J196" s="3" t="s">
        <v>1423</v>
      </c>
      <c r="K196" s="3" t="s">
        <v>874</v>
      </c>
      <c r="L196" s="3" t="s">
        <v>866</v>
      </c>
    </row>
    <row r="197" spans="1:12">
      <c r="A197" s="3" t="s">
        <v>866</v>
      </c>
      <c r="B197" s="8" t="s">
        <v>51</v>
      </c>
      <c r="C197" s="7" t="s">
        <v>1424</v>
      </c>
      <c r="D197" s="3" t="s">
        <v>868</v>
      </c>
      <c r="E197" s="3" t="s">
        <v>1425</v>
      </c>
      <c r="F197" s="3" t="s">
        <v>1426</v>
      </c>
      <c r="G197" s="3" t="s">
        <v>1427</v>
      </c>
      <c r="H197" s="3" t="s">
        <v>1428</v>
      </c>
      <c r="I197" s="3" t="s">
        <v>1429</v>
      </c>
      <c r="J197" s="3" t="s">
        <v>1430</v>
      </c>
      <c r="K197" s="3" t="s">
        <v>874</v>
      </c>
      <c r="L197" s="3" t="s">
        <v>866</v>
      </c>
    </row>
    <row r="198" spans="1:12">
      <c r="A198" s="3" t="s">
        <v>866</v>
      </c>
      <c r="B198" s="8" t="s">
        <v>51</v>
      </c>
      <c r="C198" s="7" t="s">
        <v>1431</v>
      </c>
      <c r="D198" s="3" t="s">
        <v>868</v>
      </c>
      <c r="E198" s="3" t="s">
        <v>1432</v>
      </c>
      <c r="F198" s="3"/>
      <c r="G198" s="3" t="s">
        <v>1433</v>
      </c>
      <c r="H198" s="3" t="s">
        <v>1434</v>
      </c>
      <c r="I198" s="3" t="s">
        <v>1435</v>
      </c>
      <c r="J198" s="3" t="s">
        <v>1436</v>
      </c>
      <c r="K198" s="3" t="s">
        <v>874</v>
      </c>
      <c r="L198" s="3" t="s">
        <v>866</v>
      </c>
    </row>
    <row r="199" spans="1:12">
      <c r="A199" s="3" t="s">
        <v>384</v>
      </c>
      <c r="B199" s="8" t="s">
        <v>51</v>
      </c>
      <c r="C199" s="7" t="s">
        <v>1437</v>
      </c>
      <c r="D199" s="3" t="s">
        <v>792</v>
      </c>
      <c r="E199" s="3" t="s">
        <v>844</v>
      </c>
      <c r="F199" s="3" t="s">
        <v>839</v>
      </c>
      <c r="G199" s="3" t="s">
        <v>838</v>
      </c>
      <c r="H199" s="3" t="s">
        <v>840</v>
      </c>
      <c r="I199" s="3" t="s">
        <v>1438</v>
      </c>
      <c r="J199" s="3" t="s">
        <v>1439</v>
      </c>
      <c r="K199" s="3" t="s">
        <v>305</v>
      </c>
      <c r="L199" s="3" t="s">
        <v>384</v>
      </c>
    </row>
    <row r="200" spans="1:12">
      <c r="A200" s="3" t="s">
        <v>221</v>
      </c>
      <c r="B200" s="8" t="s">
        <v>51</v>
      </c>
      <c r="C200" s="7" t="s">
        <v>1440</v>
      </c>
      <c r="D200" s="3" t="s">
        <v>222</v>
      </c>
      <c r="E200" s="3" t="s">
        <v>1441</v>
      </c>
      <c r="F200" s="3" t="s">
        <v>416</v>
      </c>
      <c r="G200" s="3" t="s">
        <v>1442</v>
      </c>
      <c r="H200" s="3" t="s">
        <v>1443</v>
      </c>
      <c r="I200" s="3" t="s">
        <v>1444</v>
      </c>
      <c r="J200" s="3" t="s">
        <v>1444</v>
      </c>
      <c r="K200" s="3" t="s">
        <v>305</v>
      </c>
      <c r="L200" s="3" t="s">
        <v>221</v>
      </c>
    </row>
    <row r="201" spans="1:12">
      <c r="A201" s="3" t="s">
        <v>384</v>
      </c>
      <c r="B201" s="8" t="s">
        <v>51</v>
      </c>
      <c r="C201" s="7" t="s">
        <v>1445</v>
      </c>
      <c r="D201" s="3" t="s">
        <v>792</v>
      </c>
      <c r="E201" s="3" t="s">
        <v>1446</v>
      </c>
      <c r="F201" s="3" t="s">
        <v>1447</v>
      </c>
      <c r="G201" s="3" t="s">
        <v>1448</v>
      </c>
      <c r="H201" s="3" t="s">
        <v>1449</v>
      </c>
      <c r="I201" s="3" t="s">
        <v>1450</v>
      </c>
      <c r="J201" s="3" t="s">
        <v>1451</v>
      </c>
      <c r="K201" s="3" t="s">
        <v>305</v>
      </c>
      <c r="L201" s="3" t="s">
        <v>384</v>
      </c>
    </row>
    <row r="202" spans="1:12">
      <c r="A202" s="3" t="s">
        <v>384</v>
      </c>
      <c r="B202" s="8" t="s">
        <v>51</v>
      </c>
      <c r="C202" s="7" t="s">
        <v>1452</v>
      </c>
      <c r="D202" s="3" t="s">
        <v>792</v>
      </c>
      <c r="E202" s="3" t="s">
        <v>1453</v>
      </c>
      <c r="F202" s="3" t="s">
        <v>1447</v>
      </c>
      <c r="G202" s="3" t="s">
        <v>1454</v>
      </c>
      <c r="H202" s="3" t="s">
        <v>1455</v>
      </c>
      <c r="I202" s="3" t="s">
        <v>1456</v>
      </c>
      <c r="J202" s="3" t="s">
        <v>1457</v>
      </c>
      <c r="K202" s="3" t="s">
        <v>305</v>
      </c>
      <c r="L202" s="3" t="s">
        <v>384</v>
      </c>
    </row>
    <row r="203" spans="1:12">
      <c r="A203" s="3" t="s">
        <v>384</v>
      </c>
      <c r="B203" s="8" t="s">
        <v>51</v>
      </c>
      <c r="C203" s="7" t="s">
        <v>1458</v>
      </c>
      <c r="D203" s="3" t="s">
        <v>792</v>
      </c>
      <c r="E203" s="3" t="s">
        <v>844</v>
      </c>
      <c r="F203" s="3" t="s">
        <v>839</v>
      </c>
      <c r="G203" s="3" t="s">
        <v>838</v>
      </c>
      <c r="H203" s="3" t="s">
        <v>840</v>
      </c>
      <c r="I203" s="3" t="s">
        <v>1459</v>
      </c>
      <c r="J203" s="3" t="s">
        <v>1460</v>
      </c>
      <c r="K203" s="3" t="s">
        <v>305</v>
      </c>
      <c r="L203" s="3" t="s">
        <v>384</v>
      </c>
    </row>
    <row r="204" spans="1:12">
      <c r="A204" s="3" t="s">
        <v>221</v>
      </c>
      <c r="B204" s="8" t="s">
        <v>51</v>
      </c>
      <c r="C204" s="7" t="s">
        <v>1461</v>
      </c>
      <c r="D204" s="3" t="s">
        <v>222</v>
      </c>
      <c r="E204" s="3" t="s">
        <v>1462</v>
      </c>
      <c r="F204" s="3" t="s">
        <v>300</v>
      </c>
      <c r="G204" s="3" t="s">
        <v>1463</v>
      </c>
      <c r="H204" s="3" t="s">
        <v>1464</v>
      </c>
      <c r="I204" s="3" t="s">
        <v>1465</v>
      </c>
      <c r="J204" s="3" t="s">
        <v>1465</v>
      </c>
      <c r="K204" s="3" t="s">
        <v>305</v>
      </c>
      <c r="L204" s="3" t="s">
        <v>221</v>
      </c>
    </row>
    <row r="205" spans="1:12">
      <c r="A205" s="3" t="s">
        <v>221</v>
      </c>
      <c r="B205" s="8" t="s">
        <v>51</v>
      </c>
      <c r="C205" s="7" t="s">
        <v>1466</v>
      </c>
      <c r="D205" s="3" t="s">
        <v>222</v>
      </c>
      <c r="E205" s="3" t="s">
        <v>1467</v>
      </c>
      <c r="F205" s="3" t="s">
        <v>505</v>
      </c>
      <c r="G205" s="3" t="s">
        <v>1468</v>
      </c>
      <c r="H205" s="3" t="s">
        <v>1469</v>
      </c>
      <c r="I205" s="3" t="s">
        <v>1470</v>
      </c>
      <c r="J205" s="3" t="s">
        <v>1470</v>
      </c>
      <c r="K205" s="3" t="s">
        <v>305</v>
      </c>
      <c r="L205" s="3" t="s">
        <v>221</v>
      </c>
    </row>
    <row r="206" spans="1:12">
      <c r="A206" s="3" t="s">
        <v>221</v>
      </c>
      <c r="B206" s="8" t="s">
        <v>51</v>
      </c>
      <c r="C206" s="7" t="s">
        <v>1471</v>
      </c>
      <c r="D206" s="3" t="s">
        <v>222</v>
      </c>
      <c r="E206" s="3" t="s">
        <v>1472</v>
      </c>
      <c r="F206" s="3" t="s">
        <v>728</v>
      </c>
      <c r="G206" s="3" t="s">
        <v>1473</v>
      </c>
      <c r="H206" s="3" t="s">
        <v>1474</v>
      </c>
      <c r="I206" s="3" t="s">
        <v>1475</v>
      </c>
      <c r="J206" s="3" t="s">
        <v>1475</v>
      </c>
      <c r="K206" s="3" t="s">
        <v>305</v>
      </c>
      <c r="L206" s="3" t="s">
        <v>221</v>
      </c>
    </row>
    <row r="207" spans="1:12">
      <c r="A207" s="3" t="s">
        <v>221</v>
      </c>
      <c r="B207" s="8" t="s">
        <v>51</v>
      </c>
      <c r="C207" s="7" t="s">
        <v>1476</v>
      </c>
      <c r="D207" s="3" t="s">
        <v>222</v>
      </c>
      <c r="E207" s="3" t="s">
        <v>1477</v>
      </c>
      <c r="F207" s="3" t="s">
        <v>543</v>
      </c>
      <c r="G207" s="3" t="s">
        <v>1478</v>
      </c>
      <c r="H207" s="3" t="s">
        <v>1479</v>
      </c>
      <c r="I207" s="3" t="s">
        <v>1480</v>
      </c>
      <c r="J207" s="3" t="s">
        <v>1480</v>
      </c>
      <c r="K207" s="3" t="s">
        <v>305</v>
      </c>
      <c r="L207" s="3" t="s">
        <v>221</v>
      </c>
    </row>
    <row r="208" spans="1:12">
      <c r="A208" s="3" t="s">
        <v>221</v>
      </c>
      <c r="B208" s="8" t="s">
        <v>51</v>
      </c>
      <c r="C208" s="7" t="s">
        <v>1481</v>
      </c>
      <c r="D208" s="3" t="s">
        <v>222</v>
      </c>
      <c r="E208" s="3" t="s">
        <v>1482</v>
      </c>
      <c r="F208" s="3" t="s">
        <v>323</v>
      </c>
      <c r="G208" s="3" t="s">
        <v>1483</v>
      </c>
      <c r="H208" s="3" t="s">
        <v>1484</v>
      </c>
      <c r="I208" s="3" t="s">
        <v>1485</v>
      </c>
      <c r="J208" s="3" t="s">
        <v>1485</v>
      </c>
      <c r="K208" s="3" t="s">
        <v>305</v>
      </c>
      <c r="L208" s="3" t="s">
        <v>221</v>
      </c>
    </row>
    <row r="209" spans="1:12">
      <c r="A209" s="3" t="s">
        <v>384</v>
      </c>
      <c r="B209" s="8" t="s">
        <v>51</v>
      </c>
      <c r="C209" s="7" t="s">
        <v>1486</v>
      </c>
      <c r="D209" s="3" t="s">
        <v>792</v>
      </c>
      <c r="E209" s="3" t="s">
        <v>1487</v>
      </c>
      <c r="F209" s="3" t="s">
        <v>1488</v>
      </c>
      <c r="G209" s="3" t="s">
        <v>1489</v>
      </c>
      <c r="H209" s="3" t="s">
        <v>1490</v>
      </c>
      <c r="I209" s="3" t="s">
        <v>1491</v>
      </c>
      <c r="J209" s="3" t="s">
        <v>1492</v>
      </c>
      <c r="K209" s="3" t="s">
        <v>305</v>
      </c>
      <c r="L209" s="3" t="s">
        <v>384</v>
      </c>
    </row>
    <row r="210" spans="1:12">
      <c r="A210" s="3" t="s">
        <v>384</v>
      </c>
      <c r="B210" s="8" t="s">
        <v>51</v>
      </c>
      <c r="C210" s="7" t="s">
        <v>1493</v>
      </c>
      <c r="D210" s="3" t="s">
        <v>792</v>
      </c>
      <c r="E210" s="3" t="s">
        <v>1494</v>
      </c>
      <c r="F210" s="3"/>
      <c r="G210" s="3" t="s">
        <v>1495</v>
      </c>
      <c r="H210" s="3" t="s">
        <v>1496</v>
      </c>
      <c r="I210" s="3" t="s">
        <v>1497</v>
      </c>
      <c r="J210" s="3" t="s">
        <v>1498</v>
      </c>
      <c r="K210" s="3" t="s">
        <v>305</v>
      </c>
      <c r="L210" s="3" t="s">
        <v>384</v>
      </c>
    </row>
    <row r="211" spans="1:12">
      <c r="A211" s="3" t="s">
        <v>384</v>
      </c>
      <c r="B211" s="8" t="s">
        <v>51</v>
      </c>
      <c r="C211" s="7" t="s">
        <v>1499</v>
      </c>
      <c r="D211" s="3" t="s">
        <v>792</v>
      </c>
      <c r="E211" s="3" t="s">
        <v>1500</v>
      </c>
      <c r="F211" s="3"/>
      <c r="G211" s="3" t="s">
        <v>1501</v>
      </c>
      <c r="H211" s="3" t="s">
        <v>1502</v>
      </c>
      <c r="I211" s="3" t="s">
        <v>1503</v>
      </c>
      <c r="J211" s="3" t="s">
        <v>1504</v>
      </c>
      <c r="K211" s="3" t="s">
        <v>305</v>
      </c>
      <c r="L211" s="3" t="s">
        <v>384</v>
      </c>
    </row>
    <row r="212" spans="1:12">
      <c r="A212" s="3" t="s">
        <v>221</v>
      </c>
      <c r="B212" s="8" t="s">
        <v>51</v>
      </c>
      <c r="C212" s="7" t="s">
        <v>1505</v>
      </c>
      <c r="D212" s="3" t="s">
        <v>222</v>
      </c>
      <c r="E212" s="3" t="s">
        <v>1506</v>
      </c>
      <c r="F212" s="3" t="s">
        <v>323</v>
      </c>
      <c r="G212" s="3" t="s">
        <v>1507</v>
      </c>
      <c r="H212" s="3" t="s">
        <v>1508</v>
      </c>
      <c r="I212" s="3" t="s">
        <v>1509</v>
      </c>
      <c r="J212" s="3" t="s">
        <v>1509</v>
      </c>
      <c r="K212" s="3" t="s">
        <v>305</v>
      </c>
      <c r="L212" s="3" t="s">
        <v>221</v>
      </c>
    </row>
    <row r="213" spans="1:12">
      <c r="A213" s="3" t="s">
        <v>221</v>
      </c>
      <c r="B213" s="8" t="s">
        <v>51</v>
      </c>
      <c r="C213" s="7" t="s">
        <v>1510</v>
      </c>
      <c r="D213" s="3" t="s">
        <v>222</v>
      </c>
      <c r="E213" s="3" t="s">
        <v>1511</v>
      </c>
      <c r="F213" s="3" t="s">
        <v>323</v>
      </c>
      <c r="G213" s="3" t="s">
        <v>1061</v>
      </c>
      <c r="H213" s="3" t="s">
        <v>1512</v>
      </c>
      <c r="I213" s="3" t="s">
        <v>1513</v>
      </c>
      <c r="J213" s="3" t="s">
        <v>1513</v>
      </c>
      <c r="K213" s="3" t="s">
        <v>305</v>
      </c>
      <c r="L213" s="3" t="s">
        <v>221</v>
      </c>
    </row>
    <row r="214" spans="1:12">
      <c r="A214" s="3" t="s">
        <v>221</v>
      </c>
      <c r="B214" s="8" t="s">
        <v>51</v>
      </c>
      <c r="C214" s="7" t="s">
        <v>1514</v>
      </c>
      <c r="D214" s="3" t="s">
        <v>222</v>
      </c>
      <c r="E214" s="3" t="s">
        <v>1515</v>
      </c>
      <c r="F214" s="3" t="s">
        <v>1516</v>
      </c>
      <c r="G214" s="3" t="s">
        <v>1517</v>
      </c>
      <c r="H214" s="3" t="s">
        <v>1518</v>
      </c>
      <c r="I214" s="3" t="s">
        <v>1519</v>
      </c>
      <c r="J214" s="3" t="s">
        <v>1519</v>
      </c>
      <c r="K214" s="3" t="s">
        <v>305</v>
      </c>
      <c r="L214" s="3" t="s">
        <v>221</v>
      </c>
    </row>
    <row r="215" spans="1:12">
      <c r="A215" s="3" t="s">
        <v>866</v>
      </c>
      <c r="B215" s="8" t="s">
        <v>51</v>
      </c>
      <c r="C215" s="7" t="s">
        <v>1520</v>
      </c>
      <c r="D215" s="3" t="s">
        <v>868</v>
      </c>
      <c r="E215" s="3" t="s">
        <v>1521</v>
      </c>
      <c r="F215" s="3" t="s">
        <v>1522</v>
      </c>
      <c r="G215" s="3" t="s">
        <v>1523</v>
      </c>
      <c r="H215" s="3" t="s">
        <v>1524</v>
      </c>
      <c r="I215" s="3" t="s">
        <v>1525</v>
      </c>
      <c r="J215" s="3" t="s">
        <v>1526</v>
      </c>
      <c r="K215" s="3" t="s">
        <v>874</v>
      </c>
      <c r="L215" s="3" t="s">
        <v>866</v>
      </c>
    </row>
    <row r="216" spans="1:12">
      <c r="A216" s="3" t="s">
        <v>1000</v>
      </c>
      <c r="B216" s="8" t="s">
        <v>51</v>
      </c>
      <c r="C216" s="7" t="s">
        <v>1527</v>
      </c>
      <c r="D216" s="3" t="s">
        <v>1002</v>
      </c>
      <c r="E216" s="3" t="s">
        <v>1528</v>
      </c>
      <c r="F216" s="3" t="s">
        <v>1529</v>
      </c>
      <c r="G216" s="3" t="s">
        <v>1530</v>
      </c>
      <c r="H216" s="3" t="s">
        <v>1531</v>
      </c>
      <c r="I216" s="3" t="s">
        <v>1532</v>
      </c>
      <c r="J216" s="3" t="s">
        <v>1533</v>
      </c>
      <c r="K216" s="3" t="s">
        <v>305</v>
      </c>
      <c r="L216" s="3" t="s">
        <v>1000</v>
      </c>
    </row>
    <row r="217" spans="1:12">
      <c r="A217" s="3" t="s">
        <v>221</v>
      </c>
      <c r="B217" s="8" t="s">
        <v>51</v>
      </c>
      <c r="C217" s="7" t="s">
        <v>1534</v>
      </c>
      <c r="D217" s="3" t="s">
        <v>222</v>
      </c>
      <c r="E217" s="3" t="s">
        <v>1535</v>
      </c>
      <c r="F217" s="3" t="s">
        <v>787</v>
      </c>
      <c r="G217" s="3" t="s">
        <v>1536</v>
      </c>
      <c r="H217" s="3" t="s">
        <v>1537</v>
      </c>
      <c r="I217" s="3" t="s">
        <v>1538</v>
      </c>
      <c r="J217" s="3" t="s">
        <v>1538</v>
      </c>
      <c r="K217" s="3" t="s">
        <v>305</v>
      </c>
      <c r="L217" s="3" t="s">
        <v>221</v>
      </c>
    </row>
    <row r="218" spans="1:12">
      <c r="A218" s="3" t="s">
        <v>221</v>
      </c>
      <c r="B218" s="8" t="s">
        <v>51</v>
      </c>
      <c r="C218" s="7" t="s">
        <v>1539</v>
      </c>
      <c r="D218" s="3" t="s">
        <v>222</v>
      </c>
      <c r="E218" s="3" t="s">
        <v>1540</v>
      </c>
      <c r="F218" s="3" t="s">
        <v>550</v>
      </c>
      <c r="G218" s="3" t="s">
        <v>1541</v>
      </c>
      <c r="H218" s="3" t="s">
        <v>1542</v>
      </c>
      <c r="I218" s="3" t="s">
        <v>1543</v>
      </c>
      <c r="J218" s="3" t="s">
        <v>1543</v>
      </c>
      <c r="K218" s="3" t="s">
        <v>305</v>
      </c>
      <c r="L218" s="3" t="s">
        <v>221</v>
      </c>
    </row>
    <row r="219" spans="1:12">
      <c r="A219" s="3" t="s">
        <v>221</v>
      </c>
      <c r="B219" s="8" t="s">
        <v>51</v>
      </c>
      <c r="C219" s="7" t="s">
        <v>1544</v>
      </c>
      <c r="D219" s="3" t="s">
        <v>222</v>
      </c>
      <c r="E219" s="3" t="s">
        <v>1545</v>
      </c>
      <c r="F219" s="3" t="s">
        <v>323</v>
      </c>
      <c r="G219" s="3" t="s">
        <v>1546</v>
      </c>
      <c r="H219" s="3" t="s">
        <v>1547</v>
      </c>
      <c r="I219" s="3" t="s">
        <v>1548</v>
      </c>
      <c r="J219" s="3" t="s">
        <v>1548</v>
      </c>
      <c r="K219" s="3" t="s">
        <v>305</v>
      </c>
      <c r="L219" s="3" t="s">
        <v>221</v>
      </c>
    </row>
    <row r="220" spans="1:12">
      <c r="A220" s="3" t="s">
        <v>221</v>
      </c>
      <c r="B220" s="8" t="s">
        <v>51</v>
      </c>
      <c r="C220" s="7" t="s">
        <v>1549</v>
      </c>
      <c r="D220" s="3" t="s">
        <v>222</v>
      </c>
      <c r="E220" s="3" t="s">
        <v>1550</v>
      </c>
      <c r="F220" s="3" t="s">
        <v>632</v>
      </c>
      <c r="G220" s="3" t="s">
        <v>657</v>
      </c>
      <c r="H220" s="3" t="s">
        <v>1551</v>
      </c>
      <c r="I220" s="3" t="s">
        <v>1552</v>
      </c>
      <c r="J220" s="3" t="s">
        <v>1552</v>
      </c>
      <c r="K220" s="3" t="s">
        <v>305</v>
      </c>
      <c r="L220" s="3" t="s">
        <v>221</v>
      </c>
    </row>
    <row r="221" spans="1:12">
      <c r="A221" s="3" t="s">
        <v>221</v>
      </c>
      <c r="B221" s="8" t="s">
        <v>51</v>
      </c>
      <c r="C221" s="7" t="s">
        <v>1553</v>
      </c>
      <c r="D221" s="3" t="s">
        <v>222</v>
      </c>
      <c r="E221" s="3" t="s">
        <v>1554</v>
      </c>
      <c r="F221" s="3" t="s">
        <v>323</v>
      </c>
      <c r="G221" s="3" t="s">
        <v>358</v>
      </c>
      <c r="H221" s="3" t="s">
        <v>1555</v>
      </c>
      <c r="I221" s="3" t="s">
        <v>1556</v>
      </c>
      <c r="J221" s="3" t="s">
        <v>1556</v>
      </c>
      <c r="K221" s="3" t="s">
        <v>305</v>
      </c>
      <c r="L221" s="3" t="s">
        <v>221</v>
      </c>
    </row>
    <row r="222" spans="1:12">
      <c r="A222" s="3" t="s">
        <v>984</v>
      </c>
      <c r="B222" s="8" t="s">
        <v>51</v>
      </c>
      <c r="C222" s="7" t="s">
        <v>1557</v>
      </c>
      <c r="D222" s="3" t="s">
        <v>986</v>
      </c>
      <c r="E222" s="3" t="s">
        <v>1558</v>
      </c>
      <c r="F222" s="3"/>
      <c r="G222" s="3" t="s">
        <v>1559</v>
      </c>
      <c r="H222" s="3" t="s">
        <v>1560</v>
      </c>
      <c r="I222" s="3" t="s">
        <v>1561</v>
      </c>
      <c r="J222" s="3" t="s">
        <v>1562</v>
      </c>
      <c r="K222" s="3" t="s">
        <v>1563</v>
      </c>
      <c r="L222" s="3" t="s">
        <v>984</v>
      </c>
    </row>
    <row r="223" spans="1:12">
      <c r="A223" s="3" t="s">
        <v>221</v>
      </c>
      <c r="B223" s="8" t="s">
        <v>51</v>
      </c>
      <c r="C223" s="7" t="s">
        <v>1564</v>
      </c>
      <c r="D223" s="3" t="s">
        <v>222</v>
      </c>
      <c r="E223" s="3" t="s">
        <v>1565</v>
      </c>
      <c r="F223" s="3" t="s">
        <v>685</v>
      </c>
      <c r="G223" s="3" t="s">
        <v>1566</v>
      </c>
      <c r="H223" s="3" t="s">
        <v>1567</v>
      </c>
      <c r="I223" s="3" t="s">
        <v>1568</v>
      </c>
      <c r="J223" s="3" t="s">
        <v>1568</v>
      </c>
      <c r="K223" s="3" t="s">
        <v>305</v>
      </c>
      <c r="L223" s="3" t="s">
        <v>221</v>
      </c>
    </row>
    <row r="224" spans="1:12">
      <c r="A224" s="3" t="s">
        <v>221</v>
      </c>
      <c r="B224" s="8" t="s">
        <v>51</v>
      </c>
      <c r="C224" s="7" t="s">
        <v>1569</v>
      </c>
      <c r="D224" s="3" t="s">
        <v>222</v>
      </c>
      <c r="E224" s="3" t="s">
        <v>1570</v>
      </c>
      <c r="F224" s="3" t="s">
        <v>1317</v>
      </c>
      <c r="G224" s="3" t="s">
        <v>1571</v>
      </c>
      <c r="H224" s="3" t="s">
        <v>1572</v>
      </c>
      <c r="I224" s="3" t="s">
        <v>1573</v>
      </c>
      <c r="J224" s="3" t="s">
        <v>1573</v>
      </c>
      <c r="K224" s="3" t="s">
        <v>305</v>
      </c>
      <c r="L224" s="3" t="s">
        <v>221</v>
      </c>
    </row>
    <row r="225" spans="1:12">
      <c r="A225" s="3" t="s">
        <v>221</v>
      </c>
      <c r="B225" s="8" t="s">
        <v>51</v>
      </c>
      <c r="C225" s="7" t="s">
        <v>1574</v>
      </c>
      <c r="D225" s="3" t="s">
        <v>222</v>
      </c>
      <c r="E225" s="3" t="s">
        <v>1575</v>
      </c>
      <c r="F225" s="3" t="s">
        <v>397</v>
      </c>
      <c r="G225" s="3" t="s">
        <v>410</v>
      </c>
      <c r="H225" s="3" t="s">
        <v>1576</v>
      </c>
      <c r="I225" s="3" t="s">
        <v>1577</v>
      </c>
      <c r="J225" s="3" t="s">
        <v>1577</v>
      </c>
      <c r="K225" s="3" t="s">
        <v>305</v>
      </c>
      <c r="L225" s="3" t="s">
        <v>221</v>
      </c>
    </row>
    <row r="226" spans="1:12">
      <c r="A226" s="3" t="s">
        <v>984</v>
      </c>
      <c r="B226" s="8" t="s">
        <v>51</v>
      </c>
      <c r="C226" s="7" t="s">
        <v>1578</v>
      </c>
      <c r="D226" s="3" t="s">
        <v>986</v>
      </c>
      <c r="E226" s="3" t="s">
        <v>1579</v>
      </c>
      <c r="F226" s="3" t="s">
        <v>1580</v>
      </c>
      <c r="G226" s="3" t="s">
        <v>1581</v>
      </c>
      <c r="H226" s="3" t="s">
        <v>1582</v>
      </c>
      <c r="I226" s="3" t="s">
        <v>1583</v>
      </c>
      <c r="J226" s="3" t="s">
        <v>1584</v>
      </c>
      <c r="K226" s="3" t="s">
        <v>305</v>
      </c>
      <c r="L226" s="3" t="s">
        <v>984</v>
      </c>
    </row>
    <row r="227" spans="1:12">
      <c r="A227" s="3" t="s">
        <v>221</v>
      </c>
      <c r="B227" s="8" t="s">
        <v>51</v>
      </c>
      <c r="C227" s="7" t="s">
        <v>1585</v>
      </c>
      <c r="D227" s="3" t="s">
        <v>222</v>
      </c>
      <c r="E227" s="3" t="s">
        <v>1586</v>
      </c>
      <c r="F227" s="3" t="s">
        <v>536</v>
      </c>
      <c r="G227" s="3" t="s">
        <v>1587</v>
      </c>
      <c r="H227" s="3" t="s">
        <v>1588</v>
      </c>
      <c r="I227" s="3" t="s">
        <v>1589</v>
      </c>
      <c r="J227" s="3" t="s">
        <v>1589</v>
      </c>
      <c r="K227" s="3" t="s">
        <v>305</v>
      </c>
      <c r="L227" s="3" t="s">
        <v>221</v>
      </c>
    </row>
    <row r="228" spans="1:12">
      <c r="A228" s="3" t="s">
        <v>221</v>
      </c>
      <c r="B228" s="8" t="s">
        <v>51</v>
      </c>
      <c r="C228" s="7" t="s">
        <v>1590</v>
      </c>
      <c r="D228" s="3" t="s">
        <v>222</v>
      </c>
      <c r="E228" s="3" t="s">
        <v>1591</v>
      </c>
      <c r="F228" s="3" t="s">
        <v>766</v>
      </c>
      <c r="G228" s="3" t="s">
        <v>1592</v>
      </c>
      <c r="H228" s="3" t="s">
        <v>1593</v>
      </c>
      <c r="I228" s="3" t="s">
        <v>1594</v>
      </c>
      <c r="J228" s="3" t="s">
        <v>1594</v>
      </c>
      <c r="K228" s="3" t="s">
        <v>305</v>
      </c>
      <c r="L228" s="3" t="s">
        <v>221</v>
      </c>
    </row>
    <row r="229" spans="1:12">
      <c r="A229" s="3" t="s">
        <v>221</v>
      </c>
      <c r="B229" s="8" t="s">
        <v>51</v>
      </c>
      <c r="C229" s="7" t="s">
        <v>1595</v>
      </c>
      <c r="D229" s="3" t="s">
        <v>222</v>
      </c>
      <c r="E229" s="3" t="s">
        <v>1596</v>
      </c>
      <c r="F229" s="3" t="s">
        <v>323</v>
      </c>
      <c r="G229" s="3" t="s">
        <v>1597</v>
      </c>
      <c r="H229" s="3" t="s">
        <v>1598</v>
      </c>
      <c r="I229" s="3" t="s">
        <v>1599</v>
      </c>
      <c r="J229" s="3" t="s">
        <v>1599</v>
      </c>
      <c r="K229" s="3" t="s">
        <v>1563</v>
      </c>
      <c r="L229" s="3" t="s">
        <v>221</v>
      </c>
    </row>
    <row r="230" spans="1:12">
      <c r="A230" s="3" t="s">
        <v>221</v>
      </c>
      <c r="B230" s="8" t="s">
        <v>51</v>
      </c>
      <c r="C230" s="7" t="s">
        <v>1600</v>
      </c>
      <c r="D230" s="3" t="s">
        <v>222</v>
      </c>
      <c r="E230" s="3" t="s">
        <v>1601</v>
      </c>
      <c r="F230" s="3" t="s">
        <v>632</v>
      </c>
      <c r="G230" s="3" t="s">
        <v>1602</v>
      </c>
      <c r="H230" s="3" t="s">
        <v>1603</v>
      </c>
      <c r="I230" s="3" t="s">
        <v>1604</v>
      </c>
      <c r="J230" s="3" t="s">
        <v>1604</v>
      </c>
      <c r="K230" s="3" t="s">
        <v>1563</v>
      </c>
      <c r="L230" s="3" t="s">
        <v>221</v>
      </c>
    </row>
    <row r="231" spans="1:12">
      <c r="A231" s="3" t="s">
        <v>384</v>
      </c>
      <c r="B231" s="8" t="s">
        <v>51</v>
      </c>
      <c r="C231" s="7" t="s">
        <v>1605</v>
      </c>
      <c r="D231" s="3" t="s">
        <v>792</v>
      </c>
      <c r="E231" s="3" t="s">
        <v>1606</v>
      </c>
      <c r="F231" s="3"/>
      <c r="G231" s="3" t="s">
        <v>838</v>
      </c>
      <c r="H231" s="3" t="s">
        <v>840</v>
      </c>
      <c r="I231" s="3" t="s">
        <v>1607</v>
      </c>
      <c r="J231" s="3" t="s">
        <v>1608</v>
      </c>
      <c r="K231" s="3" t="s">
        <v>305</v>
      </c>
      <c r="L231" s="3" t="s">
        <v>384</v>
      </c>
    </row>
    <row r="232" spans="1:12">
      <c r="A232" s="3" t="s">
        <v>221</v>
      </c>
      <c r="B232" s="8" t="s">
        <v>51</v>
      </c>
      <c r="C232" s="7" t="s">
        <v>1609</v>
      </c>
      <c r="D232" s="3" t="s">
        <v>222</v>
      </c>
      <c r="E232" s="3" t="s">
        <v>1610</v>
      </c>
      <c r="F232" s="3" t="s">
        <v>300</v>
      </c>
      <c r="G232" s="3" t="s">
        <v>1611</v>
      </c>
      <c r="H232" s="3" t="s">
        <v>1612</v>
      </c>
      <c r="I232" s="3" t="s">
        <v>1613</v>
      </c>
      <c r="J232" s="3" t="s">
        <v>1614</v>
      </c>
      <c r="K232" s="3" t="s">
        <v>305</v>
      </c>
      <c r="L232" s="3" t="s">
        <v>221</v>
      </c>
    </row>
    <row r="233" spans="1:12">
      <c r="A233" s="3" t="s">
        <v>384</v>
      </c>
      <c r="B233" s="8" t="s">
        <v>51</v>
      </c>
      <c r="C233" s="7" t="s">
        <v>1615</v>
      </c>
      <c r="D233" s="3" t="s">
        <v>792</v>
      </c>
      <c r="E233" s="3" t="s">
        <v>1616</v>
      </c>
      <c r="F233" s="3" t="s">
        <v>1617</v>
      </c>
      <c r="G233" s="3" t="s">
        <v>1618</v>
      </c>
      <c r="H233" s="3" t="s">
        <v>1619</v>
      </c>
      <c r="I233" s="3" t="s">
        <v>1620</v>
      </c>
      <c r="J233" s="3" t="s">
        <v>1621</v>
      </c>
      <c r="K233" s="3" t="s">
        <v>1622</v>
      </c>
      <c r="L233" s="3" t="s">
        <v>384</v>
      </c>
    </row>
    <row r="234" spans="1:12">
      <c r="A234" s="3" t="s">
        <v>221</v>
      </c>
      <c r="B234" s="8" t="s">
        <v>51</v>
      </c>
      <c r="C234" s="7" t="s">
        <v>1623</v>
      </c>
      <c r="D234" s="3" t="s">
        <v>222</v>
      </c>
      <c r="E234" s="3" t="s">
        <v>1624</v>
      </c>
      <c r="F234" s="3" t="s">
        <v>1516</v>
      </c>
      <c r="G234" s="3" t="s">
        <v>1517</v>
      </c>
      <c r="H234" s="3" t="s">
        <v>1518</v>
      </c>
      <c r="I234" s="3" t="s">
        <v>1625</v>
      </c>
      <c r="J234" s="3" t="s">
        <v>1626</v>
      </c>
      <c r="K234" s="3" t="s">
        <v>305</v>
      </c>
      <c r="L234" s="3" t="s">
        <v>221</v>
      </c>
    </row>
    <row r="235" spans="1:12">
      <c r="A235" s="3" t="s">
        <v>1000</v>
      </c>
      <c r="B235" s="8" t="s">
        <v>51</v>
      </c>
      <c r="C235" s="7" t="s">
        <v>1627</v>
      </c>
      <c r="D235" s="3" t="s">
        <v>1002</v>
      </c>
      <c r="E235" s="3" t="s">
        <v>1628</v>
      </c>
      <c r="F235" s="3" t="s">
        <v>1629</v>
      </c>
      <c r="G235" s="3" t="s">
        <v>1630</v>
      </c>
      <c r="H235" s="3" t="s">
        <v>1631</v>
      </c>
      <c r="I235" s="3" t="s">
        <v>1632</v>
      </c>
      <c r="J235" s="3" t="s">
        <v>1633</v>
      </c>
      <c r="K235" s="3" t="s">
        <v>305</v>
      </c>
      <c r="L235" s="3" t="s">
        <v>1000</v>
      </c>
    </row>
    <row r="236" spans="1:12">
      <c r="A236" s="3" t="s">
        <v>221</v>
      </c>
      <c r="B236" s="8" t="s">
        <v>51</v>
      </c>
      <c r="C236" s="7" t="s">
        <v>1634</v>
      </c>
      <c r="D236" s="3" t="s">
        <v>222</v>
      </c>
      <c r="E236" s="3" t="s">
        <v>1635</v>
      </c>
      <c r="F236" s="3" t="s">
        <v>1636</v>
      </c>
      <c r="G236" s="3" t="s">
        <v>1637</v>
      </c>
      <c r="H236" s="3" t="s">
        <v>1638</v>
      </c>
      <c r="I236" s="3" t="s">
        <v>1639</v>
      </c>
      <c r="J236" s="3" t="s">
        <v>1640</v>
      </c>
      <c r="K236" s="3" t="s">
        <v>305</v>
      </c>
      <c r="L236" s="3" t="s">
        <v>221</v>
      </c>
    </row>
    <row r="237" spans="1:12">
      <c r="A237" s="3" t="s">
        <v>221</v>
      </c>
      <c r="B237" s="8" t="s">
        <v>51</v>
      </c>
      <c r="C237" s="7" t="s">
        <v>1641</v>
      </c>
      <c r="D237" s="3" t="s">
        <v>222</v>
      </c>
      <c r="E237" s="3" t="s">
        <v>1642</v>
      </c>
      <c r="F237" s="3" t="s">
        <v>632</v>
      </c>
      <c r="G237" s="3" t="s">
        <v>1643</v>
      </c>
      <c r="H237" s="3" t="s">
        <v>1644</v>
      </c>
      <c r="I237" s="3" t="s">
        <v>1645</v>
      </c>
      <c r="J237" s="3" t="s">
        <v>1646</v>
      </c>
      <c r="K237" s="3" t="s">
        <v>305</v>
      </c>
      <c r="L237" s="3" t="s">
        <v>221</v>
      </c>
    </row>
    <row r="238" spans="1:12">
      <c r="A238" s="3" t="s">
        <v>221</v>
      </c>
      <c r="B238" s="8" t="s">
        <v>51</v>
      </c>
      <c r="C238" s="7" t="s">
        <v>1647</v>
      </c>
      <c r="D238" s="3" t="s">
        <v>222</v>
      </c>
      <c r="E238" s="3" t="s">
        <v>1648</v>
      </c>
      <c r="F238" s="3" t="s">
        <v>1649</v>
      </c>
      <c r="G238" s="3" t="s">
        <v>1650</v>
      </c>
      <c r="H238" s="3" t="s">
        <v>1651</v>
      </c>
      <c r="I238" s="3" t="s">
        <v>1652</v>
      </c>
      <c r="J238" s="3" t="s">
        <v>1653</v>
      </c>
      <c r="K238" s="3" t="s">
        <v>305</v>
      </c>
      <c r="L238" s="3" t="s">
        <v>221</v>
      </c>
    </row>
    <row r="239" spans="1:12">
      <c r="A239" s="3" t="s">
        <v>221</v>
      </c>
      <c r="B239" s="8" t="s">
        <v>51</v>
      </c>
      <c r="C239" s="7" t="s">
        <v>1654</v>
      </c>
      <c r="D239" s="3" t="s">
        <v>222</v>
      </c>
      <c r="E239" s="3" t="s">
        <v>1655</v>
      </c>
      <c r="F239" s="3" t="s">
        <v>323</v>
      </c>
      <c r="G239" s="3" t="s">
        <v>1656</v>
      </c>
      <c r="H239" s="3" t="s">
        <v>1657</v>
      </c>
      <c r="I239" s="3" t="s">
        <v>1658</v>
      </c>
      <c r="J239" s="3" t="s">
        <v>1659</v>
      </c>
      <c r="K239" s="3" t="s">
        <v>305</v>
      </c>
      <c r="L239" s="3" t="s">
        <v>221</v>
      </c>
    </row>
    <row r="240" spans="1:12">
      <c r="A240" s="3" t="s">
        <v>221</v>
      </c>
      <c r="B240" s="8" t="s">
        <v>51</v>
      </c>
      <c r="C240" s="7" t="s">
        <v>1660</v>
      </c>
      <c r="D240" s="3" t="s">
        <v>222</v>
      </c>
      <c r="E240" s="3" t="s">
        <v>1661</v>
      </c>
      <c r="F240" s="3" t="s">
        <v>323</v>
      </c>
      <c r="G240" s="3" t="s">
        <v>1662</v>
      </c>
      <c r="H240" s="3" t="s">
        <v>1663</v>
      </c>
      <c r="I240" s="3" t="s">
        <v>1664</v>
      </c>
      <c r="J240" s="3" t="s">
        <v>1665</v>
      </c>
      <c r="K240" s="3" t="s">
        <v>305</v>
      </c>
      <c r="L240" s="3" t="s">
        <v>221</v>
      </c>
    </row>
    <row r="241" spans="1:12">
      <c r="A241" s="3" t="s">
        <v>866</v>
      </c>
      <c r="B241" s="8" t="s">
        <v>51</v>
      </c>
      <c r="C241" s="7" t="s">
        <v>1666</v>
      </c>
      <c r="D241" s="3" t="s">
        <v>868</v>
      </c>
      <c r="E241" s="3" t="s">
        <v>1667</v>
      </c>
      <c r="F241" s="3" t="s">
        <v>1668</v>
      </c>
      <c r="G241" s="3" t="s">
        <v>1427</v>
      </c>
      <c r="H241" s="3" t="s">
        <v>1669</v>
      </c>
      <c r="I241" s="3" t="s">
        <v>1670</v>
      </c>
      <c r="J241" s="3" t="s">
        <v>1671</v>
      </c>
      <c r="K241" s="3" t="s">
        <v>874</v>
      </c>
      <c r="L241" s="3" t="s">
        <v>866</v>
      </c>
    </row>
    <row r="242" spans="1:12">
      <c r="A242" s="3" t="s">
        <v>866</v>
      </c>
      <c r="B242" s="8" t="s">
        <v>51</v>
      </c>
      <c r="C242" s="7" t="s">
        <v>1672</v>
      </c>
      <c r="D242" s="3" t="s">
        <v>868</v>
      </c>
      <c r="E242" s="3" t="s">
        <v>1673</v>
      </c>
      <c r="F242" s="3"/>
      <c r="G242" s="3" t="s">
        <v>1674</v>
      </c>
      <c r="H242" s="3" t="s">
        <v>1675</v>
      </c>
      <c r="I242" s="3" t="s">
        <v>1676</v>
      </c>
      <c r="J242" s="3" t="s">
        <v>1677</v>
      </c>
      <c r="K242" s="3" t="s">
        <v>874</v>
      </c>
      <c r="L242" s="3" t="s">
        <v>866</v>
      </c>
    </row>
    <row r="243" spans="1:12">
      <c r="A243" s="3" t="s">
        <v>221</v>
      </c>
      <c r="B243" s="8" t="s">
        <v>51</v>
      </c>
      <c r="C243" s="7" t="s">
        <v>1678</v>
      </c>
      <c r="D243" s="3" t="s">
        <v>222</v>
      </c>
      <c r="E243" s="3" t="s">
        <v>1679</v>
      </c>
      <c r="F243" s="3" t="s">
        <v>323</v>
      </c>
      <c r="G243" s="3" t="s">
        <v>1680</v>
      </c>
      <c r="H243" s="3" t="s">
        <v>1681</v>
      </c>
      <c r="I243" s="3" t="s">
        <v>1682</v>
      </c>
      <c r="J243" s="3" t="s">
        <v>1683</v>
      </c>
      <c r="K243" s="3" t="s">
        <v>305</v>
      </c>
      <c r="L243" s="3" t="s">
        <v>221</v>
      </c>
    </row>
    <row r="244" spans="1:12">
      <c r="A244" s="3" t="s">
        <v>221</v>
      </c>
      <c r="B244" s="8" t="s">
        <v>51</v>
      </c>
      <c r="C244" s="7" t="s">
        <v>1684</v>
      </c>
      <c r="D244" s="3" t="s">
        <v>222</v>
      </c>
      <c r="E244" s="3" t="s">
        <v>1685</v>
      </c>
      <c r="F244" s="3" t="s">
        <v>550</v>
      </c>
      <c r="G244" s="3" t="s">
        <v>1686</v>
      </c>
      <c r="H244" s="3" t="s">
        <v>1687</v>
      </c>
      <c r="I244" s="3" t="s">
        <v>1688</v>
      </c>
      <c r="J244" s="3" t="s">
        <v>1689</v>
      </c>
      <c r="K244" s="3" t="s">
        <v>305</v>
      </c>
      <c r="L244" s="3" t="s">
        <v>221</v>
      </c>
    </row>
    <row r="245" spans="1:12">
      <c r="A245" s="3" t="s">
        <v>221</v>
      </c>
      <c r="B245" s="8" t="s">
        <v>51</v>
      </c>
      <c r="C245" s="7" t="s">
        <v>1690</v>
      </c>
      <c r="D245" s="3" t="s">
        <v>222</v>
      </c>
      <c r="E245" s="3" t="s">
        <v>1691</v>
      </c>
      <c r="F245" s="3" t="s">
        <v>1251</v>
      </c>
      <c r="G245" s="3" t="s">
        <v>1692</v>
      </c>
      <c r="H245" s="3" t="s">
        <v>1693</v>
      </c>
      <c r="I245" s="3" t="s">
        <v>1694</v>
      </c>
      <c r="J245" s="3" t="s">
        <v>1695</v>
      </c>
      <c r="K245" s="3" t="s">
        <v>305</v>
      </c>
      <c r="L245" s="3" t="s">
        <v>221</v>
      </c>
    </row>
    <row r="246" spans="1:12">
      <c r="A246" s="3" t="s">
        <v>221</v>
      </c>
      <c r="B246" s="8" t="s">
        <v>51</v>
      </c>
      <c r="C246" s="7" t="s">
        <v>1696</v>
      </c>
      <c r="D246" s="3" t="s">
        <v>222</v>
      </c>
      <c r="E246" s="3" t="s">
        <v>1697</v>
      </c>
      <c r="F246" s="3" t="s">
        <v>1516</v>
      </c>
      <c r="G246" s="3" t="s">
        <v>1698</v>
      </c>
      <c r="H246" s="3" t="s">
        <v>1699</v>
      </c>
      <c r="I246" s="3" t="s">
        <v>1700</v>
      </c>
      <c r="J246" s="3" t="s">
        <v>1701</v>
      </c>
      <c r="K246" s="3" t="s">
        <v>305</v>
      </c>
      <c r="L246" s="3" t="s">
        <v>221</v>
      </c>
    </row>
    <row r="247" spans="1:12">
      <c r="A247" s="3" t="s">
        <v>221</v>
      </c>
      <c r="B247" s="8" t="s">
        <v>51</v>
      </c>
      <c r="C247" s="7" t="s">
        <v>1702</v>
      </c>
      <c r="D247" s="3" t="s">
        <v>222</v>
      </c>
      <c r="E247" s="3" t="s">
        <v>1703</v>
      </c>
      <c r="F247" s="3" t="s">
        <v>449</v>
      </c>
      <c r="G247" s="3" t="s">
        <v>1704</v>
      </c>
      <c r="H247" s="3" t="s">
        <v>1705</v>
      </c>
      <c r="I247" s="3" t="s">
        <v>1706</v>
      </c>
      <c r="J247" s="3" t="s">
        <v>1707</v>
      </c>
      <c r="K247" s="3" t="s">
        <v>305</v>
      </c>
      <c r="L247" s="3" t="s">
        <v>221</v>
      </c>
    </row>
    <row r="248" spans="1:12">
      <c r="A248" s="3" t="s">
        <v>221</v>
      </c>
      <c r="B248" s="8" t="s">
        <v>51</v>
      </c>
      <c r="C248" s="7" t="s">
        <v>1708</v>
      </c>
      <c r="D248" s="3" t="s">
        <v>222</v>
      </c>
      <c r="E248" s="3" t="s">
        <v>1709</v>
      </c>
      <c r="F248" s="3" t="s">
        <v>543</v>
      </c>
      <c r="G248" s="3" t="s">
        <v>1710</v>
      </c>
      <c r="H248" s="3" t="s">
        <v>1711</v>
      </c>
      <c r="I248" s="3" t="s">
        <v>1712</v>
      </c>
      <c r="J248" s="3" t="s">
        <v>1713</v>
      </c>
      <c r="K248" s="3" t="s">
        <v>305</v>
      </c>
      <c r="L248" s="3" t="s">
        <v>221</v>
      </c>
    </row>
    <row r="249" spans="1:12">
      <c r="A249" s="3" t="s">
        <v>976</v>
      </c>
      <c r="B249" s="8" t="s">
        <v>51</v>
      </c>
      <c r="C249" s="7" t="s">
        <v>1714</v>
      </c>
      <c r="D249" s="3" t="s">
        <v>978</v>
      </c>
      <c r="E249" s="3" t="s">
        <v>1715</v>
      </c>
      <c r="F249" s="3" t="s">
        <v>1716</v>
      </c>
      <c r="G249" s="3" t="s">
        <v>1173</v>
      </c>
      <c r="H249" s="3" t="s">
        <v>1174</v>
      </c>
      <c r="I249" s="3" t="s">
        <v>1717</v>
      </c>
      <c r="J249" s="3" t="s">
        <v>1718</v>
      </c>
      <c r="K249" s="3" t="s">
        <v>305</v>
      </c>
      <c r="L249" s="3" t="s">
        <v>976</v>
      </c>
    </row>
    <row r="250" spans="1:12">
      <c r="A250" s="3" t="s">
        <v>221</v>
      </c>
      <c r="B250" s="8" t="s">
        <v>51</v>
      </c>
      <c r="C250" s="7" t="s">
        <v>1719</v>
      </c>
      <c r="D250" s="3" t="s">
        <v>222</v>
      </c>
      <c r="E250" s="3" t="s">
        <v>1720</v>
      </c>
      <c r="F250" s="3" t="s">
        <v>632</v>
      </c>
      <c r="G250" s="3" t="s">
        <v>1721</v>
      </c>
      <c r="H250" s="3" t="s">
        <v>1722</v>
      </c>
      <c r="I250" s="3" t="s">
        <v>1723</v>
      </c>
      <c r="J250" s="3" t="s">
        <v>1724</v>
      </c>
      <c r="K250" s="3" t="s">
        <v>305</v>
      </c>
      <c r="L250" s="3" t="s">
        <v>221</v>
      </c>
    </row>
    <row r="251" spans="1:12">
      <c r="A251" s="3" t="s">
        <v>221</v>
      </c>
      <c r="B251" s="8" t="s">
        <v>51</v>
      </c>
      <c r="C251" s="7" t="s">
        <v>1725</v>
      </c>
      <c r="D251" s="3" t="s">
        <v>222</v>
      </c>
      <c r="E251" s="3" t="s">
        <v>1726</v>
      </c>
      <c r="F251" s="3" t="s">
        <v>557</v>
      </c>
      <c r="G251" s="3" t="s">
        <v>1727</v>
      </c>
      <c r="H251" s="3" t="s">
        <v>1728</v>
      </c>
      <c r="I251" s="3" t="s">
        <v>1729</v>
      </c>
      <c r="J251" s="3" t="s">
        <v>1718</v>
      </c>
      <c r="K251" s="3" t="s">
        <v>305</v>
      </c>
      <c r="L251" s="3" t="s">
        <v>221</v>
      </c>
    </row>
    <row r="252" spans="1:12">
      <c r="A252" s="3" t="s">
        <v>221</v>
      </c>
      <c r="B252" s="8" t="s">
        <v>51</v>
      </c>
      <c r="C252" s="7" t="s">
        <v>1730</v>
      </c>
      <c r="D252" s="3" t="s">
        <v>222</v>
      </c>
      <c r="E252" s="3" t="s">
        <v>1731</v>
      </c>
      <c r="F252" s="3" t="s">
        <v>632</v>
      </c>
      <c r="G252" s="3" t="s">
        <v>1732</v>
      </c>
      <c r="H252" s="3" t="s">
        <v>1733</v>
      </c>
      <c r="I252" s="3" t="s">
        <v>1734</v>
      </c>
      <c r="J252" s="3" t="s">
        <v>1735</v>
      </c>
      <c r="K252" s="3" t="s">
        <v>305</v>
      </c>
      <c r="L252" s="3" t="s">
        <v>221</v>
      </c>
    </row>
    <row r="253" spans="1:12">
      <c r="A253" s="3" t="s">
        <v>221</v>
      </c>
      <c r="B253" s="8" t="s">
        <v>51</v>
      </c>
      <c r="C253" s="7" t="s">
        <v>1736</v>
      </c>
      <c r="D253" s="3" t="s">
        <v>222</v>
      </c>
      <c r="E253" s="3" t="s">
        <v>1737</v>
      </c>
      <c r="F253" s="3" t="s">
        <v>728</v>
      </c>
      <c r="G253" s="3" t="s">
        <v>1738</v>
      </c>
      <c r="H253" s="3" t="s">
        <v>1739</v>
      </c>
      <c r="I253" s="3" t="s">
        <v>1740</v>
      </c>
      <c r="J253" s="3" t="s">
        <v>1741</v>
      </c>
      <c r="K253" s="3" t="s">
        <v>305</v>
      </c>
      <c r="L253" s="3" t="s">
        <v>221</v>
      </c>
    </row>
    <row r="254" spans="1:12">
      <c r="A254" s="3" t="s">
        <v>221</v>
      </c>
      <c r="B254" s="8" t="s">
        <v>51</v>
      </c>
      <c r="C254" s="7" t="s">
        <v>1742</v>
      </c>
      <c r="D254" s="3" t="s">
        <v>222</v>
      </c>
      <c r="E254" s="3" t="s">
        <v>1743</v>
      </c>
      <c r="F254" s="3" t="s">
        <v>323</v>
      </c>
      <c r="G254" s="3" t="s">
        <v>1297</v>
      </c>
      <c r="H254" s="3" t="s">
        <v>1744</v>
      </c>
      <c r="I254" s="3" t="s">
        <v>1745</v>
      </c>
      <c r="J254" s="3" t="s">
        <v>1746</v>
      </c>
      <c r="K254" s="3" t="s">
        <v>305</v>
      </c>
      <c r="L254" s="3" t="s">
        <v>221</v>
      </c>
    </row>
    <row r="255" spans="1:12">
      <c r="A255" s="3" t="s">
        <v>866</v>
      </c>
      <c r="B255" s="8" t="s">
        <v>51</v>
      </c>
      <c r="C255" s="7" t="s">
        <v>1747</v>
      </c>
      <c r="D255" s="3" t="s">
        <v>868</v>
      </c>
      <c r="E255" s="3" t="s">
        <v>1748</v>
      </c>
      <c r="F255" s="3"/>
      <c r="G255" s="3" t="s">
        <v>1749</v>
      </c>
      <c r="H255" s="3" t="s">
        <v>1750</v>
      </c>
      <c r="I255" s="3" t="s">
        <v>1751</v>
      </c>
      <c r="J255" s="3" t="s">
        <v>1752</v>
      </c>
      <c r="K255" s="3" t="s">
        <v>874</v>
      </c>
      <c r="L255" s="3" t="s">
        <v>866</v>
      </c>
    </row>
    <row r="256" spans="1:12">
      <c r="A256" s="3" t="s">
        <v>866</v>
      </c>
      <c r="B256" s="8" t="s">
        <v>51</v>
      </c>
      <c r="C256" s="7" t="s">
        <v>1753</v>
      </c>
      <c r="D256" s="3" t="s">
        <v>868</v>
      </c>
      <c r="E256" s="3" t="s">
        <v>1754</v>
      </c>
      <c r="F256" s="3"/>
      <c r="G256" s="3" t="s">
        <v>1755</v>
      </c>
      <c r="H256" s="3" t="s">
        <v>1756</v>
      </c>
      <c r="I256" s="3" t="s">
        <v>1757</v>
      </c>
      <c r="J256" s="3" t="s">
        <v>1758</v>
      </c>
      <c r="K256" s="3" t="s">
        <v>874</v>
      </c>
      <c r="L256" s="3" t="s">
        <v>866</v>
      </c>
    </row>
    <row r="257" spans="1:12">
      <c r="A257" s="3" t="s">
        <v>866</v>
      </c>
      <c r="B257" s="8" t="s">
        <v>51</v>
      </c>
      <c r="C257" s="7" t="s">
        <v>1759</v>
      </c>
      <c r="D257" s="3" t="s">
        <v>868</v>
      </c>
      <c r="E257" s="3" t="s">
        <v>1760</v>
      </c>
      <c r="F257" s="3"/>
      <c r="G257" s="3" t="s">
        <v>1761</v>
      </c>
      <c r="H257" s="3" t="s">
        <v>1762</v>
      </c>
      <c r="I257" s="3" t="s">
        <v>1763</v>
      </c>
      <c r="J257" s="3" t="s">
        <v>1764</v>
      </c>
      <c r="K257" s="3" t="s">
        <v>874</v>
      </c>
      <c r="L257" s="3" t="s">
        <v>866</v>
      </c>
    </row>
    <row r="258" spans="1:12">
      <c r="A258" s="3" t="s">
        <v>866</v>
      </c>
      <c r="B258" s="8" t="s">
        <v>51</v>
      </c>
      <c r="C258" s="7" t="s">
        <v>1765</v>
      </c>
      <c r="D258" s="3" t="s">
        <v>868</v>
      </c>
      <c r="E258" s="3" t="s">
        <v>1766</v>
      </c>
      <c r="F258" s="3"/>
      <c r="G258" s="3" t="s">
        <v>1767</v>
      </c>
      <c r="H258" s="3" t="s">
        <v>1768</v>
      </c>
      <c r="I258" s="3" t="s">
        <v>1769</v>
      </c>
      <c r="J258" s="3" t="s">
        <v>1770</v>
      </c>
      <c r="K258" s="3" t="s">
        <v>874</v>
      </c>
      <c r="L258" s="3" t="s">
        <v>866</v>
      </c>
    </row>
    <row r="259" spans="1:12">
      <c r="A259" s="3" t="s">
        <v>866</v>
      </c>
      <c r="B259" s="8" t="s">
        <v>51</v>
      </c>
      <c r="C259" s="7" t="s">
        <v>1771</v>
      </c>
      <c r="D259" s="3" t="s">
        <v>868</v>
      </c>
      <c r="E259" s="3" t="s">
        <v>1772</v>
      </c>
      <c r="F259" s="3"/>
      <c r="G259" s="3" t="s">
        <v>1773</v>
      </c>
      <c r="H259" s="3" t="s">
        <v>1774</v>
      </c>
      <c r="I259" s="3" t="s">
        <v>1775</v>
      </c>
      <c r="J259" s="3" t="s">
        <v>1776</v>
      </c>
      <c r="K259" s="3" t="s">
        <v>874</v>
      </c>
      <c r="L259" s="3" t="s">
        <v>866</v>
      </c>
    </row>
    <row r="260" spans="1:12">
      <c r="A260" s="3" t="s">
        <v>866</v>
      </c>
      <c r="B260" s="8" t="s">
        <v>51</v>
      </c>
      <c r="C260" s="7" t="s">
        <v>1777</v>
      </c>
      <c r="D260" s="3" t="s">
        <v>868</v>
      </c>
      <c r="E260" s="3" t="s">
        <v>1778</v>
      </c>
      <c r="F260" s="3"/>
      <c r="G260" s="3" t="s">
        <v>1779</v>
      </c>
      <c r="H260" s="3" t="s">
        <v>1780</v>
      </c>
      <c r="I260" s="3" t="s">
        <v>1781</v>
      </c>
      <c r="J260" s="3" t="s">
        <v>1782</v>
      </c>
      <c r="K260" s="3" t="s">
        <v>874</v>
      </c>
      <c r="L260" s="3" t="s">
        <v>866</v>
      </c>
    </row>
    <row r="261" spans="1:12">
      <c r="A261" s="3" t="s">
        <v>866</v>
      </c>
      <c r="B261" s="8" t="s">
        <v>51</v>
      </c>
      <c r="C261" s="7" t="s">
        <v>1783</v>
      </c>
      <c r="D261" s="3" t="s">
        <v>868</v>
      </c>
      <c r="E261" s="3" t="s">
        <v>1784</v>
      </c>
      <c r="F261" s="3"/>
      <c r="G261" s="3" t="s">
        <v>1785</v>
      </c>
      <c r="H261" s="3" t="s">
        <v>1786</v>
      </c>
      <c r="I261" s="3" t="s">
        <v>1787</v>
      </c>
      <c r="J261" s="3" t="s">
        <v>1788</v>
      </c>
      <c r="K261" s="3" t="s">
        <v>874</v>
      </c>
      <c r="L261" s="3" t="s">
        <v>866</v>
      </c>
    </row>
    <row r="262" spans="1:12">
      <c r="A262" s="3" t="s">
        <v>221</v>
      </c>
      <c r="B262" s="8" t="s">
        <v>51</v>
      </c>
      <c r="C262" s="7" t="s">
        <v>1789</v>
      </c>
      <c r="D262" s="3" t="s">
        <v>222</v>
      </c>
      <c r="E262" s="3" t="s">
        <v>1790</v>
      </c>
      <c r="F262" s="3" t="s">
        <v>632</v>
      </c>
      <c r="G262" s="3" t="s">
        <v>1791</v>
      </c>
      <c r="H262" s="3" t="s">
        <v>1792</v>
      </c>
      <c r="I262" s="3" t="s">
        <v>1793</v>
      </c>
      <c r="J262" s="3" t="s">
        <v>1794</v>
      </c>
      <c r="K262" s="3" t="s">
        <v>305</v>
      </c>
      <c r="L262" s="3" t="s">
        <v>221</v>
      </c>
    </row>
    <row r="263" spans="1:12">
      <c r="A263" s="3" t="s">
        <v>221</v>
      </c>
      <c r="B263" s="8" t="s">
        <v>51</v>
      </c>
      <c r="C263" s="7" t="s">
        <v>1795</v>
      </c>
      <c r="D263" s="3" t="s">
        <v>222</v>
      </c>
      <c r="E263" s="3" t="s">
        <v>1796</v>
      </c>
      <c r="F263" s="3" t="s">
        <v>1797</v>
      </c>
      <c r="G263" s="3" t="s">
        <v>1798</v>
      </c>
      <c r="H263" s="3" t="s">
        <v>1799</v>
      </c>
      <c r="I263" s="3" t="s">
        <v>1800</v>
      </c>
      <c r="J263" s="3" t="s">
        <v>1801</v>
      </c>
      <c r="K263" s="3" t="s">
        <v>305</v>
      </c>
      <c r="L263" s="3" t="s">
        <v>221</v>
      </c>
    </row>
    <row r="264" spans="1:12">
      <c r="A264" s="3" t="s">
        <v>221</v>
      </c>
      <c r="B264" s="8" t="s">
        <v>51</v>
      </c>
      <c r="C264" s="7" t="s">
        <v>1802</v>
      </c>
      <c r="D264" s="3" t="s">
        <v>222</v>
      </c>
      <c r="E264" s="3" t="s">
        <v>1803</v>
      </c>
      <c r="F264" s="3" t="s">
        <v>449</v>
      </c>
      <c r="G264" s="3" t="s">
        <v>456</v>
      </c>
      <c r="H264" s="3" t="s">
        <v>1804</v>
      </c>
      <c r="I264" s="3" t="s">
        <v>1805</v>
      </c>
      <c r="J264" s="3" t="s">
        <v>1806</v>
      </c>
      <c r="K264" s="3" t="s">
        <v>305</v>
      </c>
      <c r="L264" s="3" t="s">
        <v>221</v>
      </c>
    </row>
    <row r="265" spans="1:12">
      <c r="A265" s="3" t="s">
        <v>384</v>
      </c>
      <c r="B265" s="8" t="s">
        <v>51</v>
      </c>
      <c r="C265" s="7" t="s">
        <v>1807</v>
      </c>
      <c r="D265" s="3" t="s">
        <v>792</v>
      </c>
      <c r="E265" s="3" t="s">
        <v>844</v>
      </c>
      <c r="F265" s="3" t="s">
        <v>839</v>
      </c>
      <c r="G265" s="3" t="s">
        <v>838</v>
      </c>
      <c r="H265" s="3" t="s">
        <v>840</v>
      </c>
      <c r="I265" s="3" t="s">
        <v>1808</v>
      </c>
      <c r="J265" s="3" t="s">
        <v>1809</v>
      </c>
      <c r="K265" s="3" t="s">
        <v>305</v>
      </c>
      <c r="L265" s="3" t="s">
        <v>384</v>
      </c>
    </row>
    <row r="266" spans="1:12">
      <c r="A266" s="3" t="s">
        <v>221</v>
      </c>
      <c r="B266" s="8" t="s">
        <v>51</v>
      </c>
      <c r="C266" s="7" t="s">
        <v>1810</v>
      </c>
      <c r="D266" s="3" t="s">
        <v>222</v>
      </c>
      <c r="E266" s="3" t="s">
        <v>1811</v>
      </c>
      <c r="F266" s="3" t="s">
        <v>323</v>
      </c>
      <c r="G266" s="3" t="s">
        <v>1483</v>
      </c>
      <c r="H266" s="3" t="s">
        <v>1812</v>
      </c>
      <c r="I266" s="3" t="s">
        <v>1813</v>
      </c>
      <c r="J266" s="3" t="s">
        <v>1814</v>
      </c>
      <c r="K266" s="3" t="s">
        <v>305</v>
      </c>
      <c r="L266" s="3" t="s">
        <v>221</v>
      </c>
    </row>
    <row r="267" spans="1:12">
      <c r="A267" s="3" t="s">
        <v>221</v>
      </c>
      <c r="B267" s="8" t="s">
        <v>51</v>
      </c>
      <c r="C267" s="7" t="s">
        <v>1815</v>
      </c>
      <c r="D267" s="3" t="s">
        <v>222</v>
      </c>
      <c r="E267" s="3" t="s">
        <v>1816</v>
      </c>
      <c r="F267" s="3" t="s">
        <v>505</v>
      </c>
      <c r="G267" s="3" t="s">
        <v>1817</v>
      </c>
      <c r="H267" s="3" t="s">
        <v>1818</v>
      </c>
      <c r="I267" s="3" t="s">
        <v>1819</v>
      </c>
      <c r="J267" s="3" t="s">
        <v>1820</v>
      </c>
      <c r="K267" s="3" t="s">
        <v>305</v>
      </c>
      <c r="L267" s="3" t="s">
        <v>221</v>
      </c>
    </row>
    <row r="268" spans="1:12">
      <c r="A268" s="3" t="s">
        <v>221</v>
      </c>
      <c r="B268" s="8" t="s">
        <v>51</v>
      </c>
      <c r="C268" s="7" t="s">
        <v>1821</v>
      </c>
      <c r="D268" s="3" t="s">
        <v>222</v>
      </c>
      <c r="E268" s="3" t="s">
        <v>1822</v>
      </c>
      <c r="F268" s="3" t="s">
        <v>632</v>
      </c>
      <c r="G268" s="3" t="s">
        <v>1823</v>
      </c>
      <c r="H268" s="3" t="s">
        <v>1824</v>
      </c>
      <c r="I268" s="3" t="s">
        <v>1825</v>
      </c>
      <c r="J268" s="3" t="s">
        <v>1826</v>
      </c>
      <c r="K268" s="3" t="s">
        <v>305</v>
      </c>
      <c r="L268" s="3" t="s">
        <v>221</v>
      </c>
    </row>
    <row r="269" spans="1:12">
      <c r="A269" s="3" t="s">
        <v>221</v>
      </c>
      <c r="B269" s="8" t="s">
        <v>51</v>
      </c>
      <c r="C269" s="7" t="s">
        <v>1827</v>
      </c>
      <c r="D269" s="3" t="s">
        <v>222</v>
      </c>
      <c r="E269" s="3" t="s">
        <v>1828</v>
      </c>
      <c r="F269" s="3" t="s">
        <v>1829</v>
      </c>
      <c r="G269" s="3" t="s">
        <v>1830</v>
      </c>
      <c r="H269" s="3" t="s">
        <v>1831</v>
      </c>
      <c r="I269" s="3" t="s">
        <v>1832</v>
      </c>
      <c r="J269" s="3" t="s">
        <v>1833</v>
      </c>
      <c r="K269" s="3" t="s">
        <v>305</v>
      </c>
      <c r="L269" s="3" t="s">
        <v>221</v>
      </c>
    </row>
    <row r="270" spans="1:12">
      <c r="A270" s="3" t="s">
        <v>221</v>
      </c>
      <c r="B270" s="8" t="s">
        <v>51</v>
      </c>
      <c r="C270" s="7" t="s">
        <v>1834</v>
      </c>
      <c r="D270" s="3" t="s">
        <v>222</v>
      </c>
      <c r="E270" s="3" t="s">
        <v>1835</v>
      </c>
      <c r="F270" s="3" t="s">
        <v>416</v>
      </c>
      <c r="G270" s="3" t="s">
        <v>1836</v>
      </c>
      <c r="H270" s="3" t="s">
        <v>1837</v>
      </c>
      <c r="I270" s="3" t="s">
        <v>1838</v>
      </c>
      <c r="J270" s="3" t="s">
        <v>1839</v>
      </c>
      <c r="K270" s="3" t="s">
        <v>305</v>
      </c>
      <c r="L270" s="3" t="s">
        <v>221</v>
      </c>
    </row>
    <row r="271" spans="1:12">
      <c r="A271" s="3" t="s">
        <v>866</v>
      </c>
      <c r="B271" s="8" t="s">
        <v>51</v>
      </c>
      <c r="C271" s="7" t="s">
        <v>1840</v>
      </c>
      <c r="D271" s="3" t="s">
        <v>868</v>
      </c>
      <c r="E271" s="3" t="s">
        <v>1841</v>
      </c>
      <c r="F271" s="3"/>
      <c r="G271" s="3" t="s">
        <v>890</v>
      </c>
      <c r="H271" s="3" t="s">
        <v>1842</v>
      </c>
      <c r="I271" s="3" t="s">
        <v>1843</v>
      </c>
      <c r="J271" s="3" t="s">
        <v>1844</v>
      </c>
      <c r="K271" s="3" t="s">
        <v>1845</v>
      </c>
      <c r="L271" s="3" t="s">
        <v>866</v>
      </c>
    </row>
    <row r="272" spans="1:12">
      <c r="A272" s="3" t="s">
        <v>221</v>
      </c>
      <c r="B272" s="8" t="s">
        <v>51</v>
      </c>
      <c r="C272" s="7" t="s">
        <v>1846</v>
      </c>
      <c r="D272" s="3" t="s">
        <v>222</v>
      </c>
      <c r="E272" s="3" t="s">
        <v>1847</v>
      </c>
      <c r="F272" s="3" t="s">
        <v>323</v>
      </c>
      <c r="G272" s="3" t="s">
        <v>1507</v>
      </c>
      <c r="H272" s="3" t="s">
        <v>1848</v>
      </c>
      <c r="I272" s="3" t="s">
        <v>1849</v>
      </c>
      <c r="J272" s="3" t="s">
        <v>1850</v>
      </c>
      <c r="K272" s="3" t="s">
        <v>305</v>
      </c>
      <c r="L272" s="3" t="s">
        <v>221</v>
      </c>
    </row>
    <row r="273" spans="1:12">
      <c r="A273" s="3" t="s">
        <v>221</v>
      </c>
      <c r="B273" s="8" t="s">
        <v>51</v>
      </c>
      <c r="C273" s="7" t="s">
        <v>1851</v>
      </c>
      <c r="D273" s="3" t="s">
        <v>222</v>
      </c>
      <c r="E273" s="3" t="s">
        <v>1852</v>
      </c>
      <c r="F273" s="3" t="s">
        <v>1853</v>
      </c>
      <c r="G273" s="3" t="s">
        <v>1854</v>
      </c>
      <c r="H273" s="3" t="s">
        <v>1855</v>
      </c>
      <c r="I273" s="3" t="s">
        <v>1856</v>
      </c>
      <c r="J273" s="3" t="s">
        <v>1857</v>
      </c>
      <c r="K273" s="3" t="s">
        <v>305</v>
      </c>
      <c r="L273" s="3" t="s">
        <v>221</v>
      </c>
    </row>
    <row r="274" spans="1:12">
      <c r="A274" s="3" t="s">
        <v>1000</v>
      </c>
      <c r="B274" s="8" t="s">
        <v>51</v>
      </c>
      <c r="C274" s="7" t="s">
        <v>1858</v>
      </c>
      <c r="D274" s="3" t="s">
        <v>1002</v>
      </c>
      <c r="E274" s="3" t="s">
        <v>1859</v>
      </c>
      <c r="F274" s="3"/>
      <c r="G274" s="3" t="s">
        <v>1860</v>
      </c>
      <c r="H274" s="3" t="s">
        <v>1861</v>
      </c>
      <c r="I274" s="3" t="s">
        <v>1862</v>
      </c>
      <c r="J274" s="3" t="s">
        <v>1863</v>
      </c>
      <c r="K274" s="3" t="s">
        <v>305</v>
      </c>
      <c r="L274" s="3" t="s">
        <v>1000</v>
      </c>
    </row>
    <row r="275" spans="1:12">
      <c r="A275" s="3" t="s">
        <v>976</v>
      </c>
      <c r="B275" s="8" t="s">
        <v>51</v>
      </c>
      <c r="C275" s="7" t="s">
        <v>1864</v>
      </c>
      <c r="D275" s="3" t="s">
        <v>978</v>
      </c>
      <c r="E275" s="3" t="s">
        <v>1865</v>
      </c>
      <c r="F275" s="3" t="s">
        <v>1866</v>
      </c>
      <c r="G275" s="3" t="s">
        <v>1867</v>
      </c>
      <c r="H275" s="3" t="s">
        <v>1868</v>
      </c>
      <c r="I275" s="3" t="s">
        <v>1869</v>
      </c>
      <c r="J275" s="3" t="s">
        <v>1870</v>
      </c>
      <c r="K275" s="3" t="s">
        <v>305</v>
      </c>
      <c r="L275" s="3" t="s">
        <v>976</v>
      </c>
    </row>
    <row r="276" spans="1:12">
      <c r="A276" s="3" t="s">
        <v>221</v>
      </c>
      <c r="B276" s="8" t="s">
        <v>51</v>
      </c>
      <c r="C276" s="7" t="s">
        <v>1871</v>
      </c>
      <c r="D276" s="3" t="s">
        <v>222</v>
      </c>
      <c r="E276" s="3" t="s">
        <v>1872</v>
      </c>
      <c r="F276" s="3" t="s">
        <v>505</v>
      </c>
      <c r="G276" s="3" t="s">
        <v>1873</v>
      </c>
      <c r="H276" s="3" t="s">
        <v>1874</v>
      </c>
      <c r="I276" s="3" t="s">
        <v>1875</v>
      </c>
      <c r="J276" s="3"/>
      <c r="K276" s="3" t="s">
        <v>1622</v>
      </c>
      <c r="L276" s="3" t="s">
        <v>221</v>
      </c>
    </row>
    <row r="277" spans="1:12">
      <c r="A277" s="3" t="s">
        <v>221</v>
      </c>
      <c r="B277" s="8" t="s">
        <v>51</v>
      </c>
      <c r="C277" s="7" t="s">
        <v>1876</v>
      </c>
      <c r="D277" s="3" t="s">
        <v>222</v>
      </c>
      <c r="E277" s="3" t="s">
        <v>1877</v>
      </c>
      <c r="F277" s="3"/>
      <c r="G277" s="3" t="s">
        <v>1878</v>
      </c>
      <c r="H277" s="3" t="s">
        <v>1879</v>
      </c>
      <c r="I277" s="3" t="s">
        <v>1880</v>
      </c>
      <c r="J277" s="3" t="s">
        <v>1881</v>
      </c>
      <c r="K277" s="3" t="s">
        <v>305</v>
      </c>
      <c r="L277" s="3" t="s">
        <v>221</v>
      </c>
    </row>
    <row r="278" spans="1:12">
      <c r="A278" s="3" t="s">
        <v>221</v>
      </c>
      <c r="B278" s="8" t="s">
        <v>51</v>
      </c>
      <c r="C278" s="7" t="s">
        <v>1882</v>
      </c>
      <c r="D278" s="3" t="s">
        <v>222</v>
      </c>
      <c r="E278" s="3" t="s">
        <v>1883</v>
      </c>
      <c r="F278" s="3" t="s">
        <v>1884</v>
      </c>
      <c r="G278" s="3" t="s">
        <v>1885</v>
      </c>
      <c r="H278" s="3" t="s">
        <v>1886</v>
      </c>
      <c r="I278" s="3" t="s">
        <v>1887</v>
      </c>
      <c r="J278" s="3" t="s">
        <v>1888</v>
      </c>
      <c r="K278" s="3" t="s">
        <v>305</v>
      </c>
      <c r="L278" s="3" t="s">
        <v>221</v>
      </c>
    </row>
    <row r="279" spans="1:12">
      <c r="A279" s="3" t="s">
        <v>976</v>
      </c>
      <c r="B279" s="8" t="s">
        <v>51</v>
      </c>
      <c r="C279" s="7" t="s">
        <v>1889</v>
      </c>
      <c r="D279" s="3" t="s">
        <v>978</v>
      </c>
      <c r="E279" s="3" t="s">
        <v>1890</v>
      </c>
      <c r="F279" s="3"/>
      <c r="G279" s="3" t="s">
        <v>1891</v>
      </c>
      <c r="H279" s="3" t="s">
        <v>1892</v>
      </c>
      <c r="I279" s="3" t="s">
        <v>1893</v>
      </c>
      <c r="J279" s="3" t="s">
        <v>1718</v>
      </c>
      <c r="K279" s="3" t="s">
        <v>305</v>
      </c>
      <c r="L279" s="3" t="s">
        <v>976</v>
      </c>
    </row>
    <row r="280" spans="1:12">
      <c r="A280" s="3" t="s">
        <v>221</v>
      </c>
      <c r="B280" s="8" t="s">
        <v>51</v>
      </c>
      <c r="C280" s="7" t="s">
        <v>1894</v>
      </c>
      <c r="D280" s="3" t="s">
        <v>222</v>
      </c>
      <c r="E280" s="3" t="s">
        <v>1895</v>
      </c>
      <c r="F280" s="3" t="s">
        <v>1071</v>
      </c>
      <c r="G280" s="3" t="s">
        <v>1896</v>
      </c>
      <c r="H280" s="3" t="s">
        <v>1897</v>
      </c>
      <c r="I280" s="3" t="s">
        <v>1898</v>
      </c>
      <c r="J280" s="3" t="s">
        <v>1899</v>
      </c>
      <c r="K280" s="3" t="s">
        <v>305</v>
      </c>
      <c r="L280" s="3" t="s">
        <v>221</v>
      </c>
    </row>
    <row r="281" spans="1:12">
      <c r="A281" s="3" t="s">
        <v>1000</v>
      </c>
      <c r="B281" s="8" t="s">
        <v>51</v>
      </c>
      <c r="C281" s="7" t="s">
        <v>1900</v>
      </c>
      <c r="D281" s="3" t="s">
        <v>1002</v>
      </c>
      <c r="E281" s="3" t="s">
        <v>1901</v>
      </c>
      <c r="F281" s="3"/>
      <c r="G281" s="3" t="s">
        <v>1902</v>
      </c>
      <c r="H281" s="3" t="s">
        <v>1903</v>
      </c>
      <c r="I281" s="3" t="s">
        <v>1904</v>
      </c>
      <c r="J281" s="3" t="s">
        <v>1905</v>
      </c>
      <c r="K281" s="3" t="s">
        <v>305</v>
      </c>
      <c r="L281" s="3" t="s">
        <v>1000</v>
      </c>
    </row>
    <row r="282" spans="1:12">
      <c r="A282" s="3" t="s">
        <v>866</v>
      </c>
      <c r="B282" s="8" t="s">
        <v>51</v>
      </c>
      <c r="C282" s="7" t="s">
        <v>1906</v>
      </c>
      <c r="D282" s="3" t="s">
        <v>868</v>
      </c>
      <c r="E282" s="3" t="s">
        <v>1907</v>
      </c>
      <c r="F282" s="3"/>
      <c r="G282" s="3" t="s">
        <v>1908</v>
      </c>
      <c r="H282" s="3" t="s">
        <v>1909</v>
      </c>
      <c r="I282" s="3" t="s">
        <v>1910</v>
      </c>
      <c r="J282" s="3" t="s">
        <v>1910</v>
      </c>
      <c r="K282" s="3" t="s">
        <v>1911</v>
      </c>
      <c r="L282" s="3" t="s">
        <v>866</v>
      </c>
    </row>
    <row r="283" spans="1:12">
      <c r="A283" s="3" t="s">
        <v>384</v>
      </c>
      <c r="B283" s="8" t="s">
        <v>51</v>
      </c>
      <c r="C283" s="7" t="s">
        <v>1912</v>
      </c>
      <c r="D283" s="3" t="s">
        <v>792</v>
      </c>
      <c r="E283" s="3" t="s">
        <v>1913</v>
      </c>
      <c r="F283" s="3"/>
      <c r="G283" s="3" t="s">
        <v>1914</v>
      </c>
      <c r="H283" s="3" t="s">
        <v>1915</v>
      </c>
      <c r="I283" s="3" t="s">
        <v>1916</v>
      </c>
      <c r="J283" s="3" t="s">
        <v>1917</v>
      </c>
      <c r="K283" s="3" t="s">
        <v>305</v>
      </c>
      <c r="L283" s="3" t="s">
        <v>384</v>
      </c>
    </row>
    <row r="284" spans="1:12">
      <c r="A284" s="3" t="s">
        <v>384</v>
      </c>
      <c r="B284" s="8" t="s">
        <v>51</v>
      </c>
      <c r="C284" s="7" t="s">
        <v>1918</v>
      </c>
      <c r="D284" s="3" t="s">
        <v>792</v>
      </c>
      <c r="E284" s="3" t="s">
        <v>1919</v>
      </c>
      <c r="F284" s="3"/>
      <c r="G284" s="3" t="s">
        <v>1920</v>
      </c>
      <c r="H284" s="3" t="s">
        <v>1921</v>
      </c>
      <c r="I284" s="3" t="s">
        <v>1922</v>
      </c>
      <c r="J284" s="3" t="s">
        <v>1923</v>
      </c>
      <c r="K284" s="3" t="s">
        <v>305</v>
      </c>
      <c r="L284" s="3" t="s">
        <v>384</v>
      </c>
    </row>
    <row r="285" spans="1:12">
      <c r="A285" s="3" t="s">
        <v>384</v>
      </c>
      <c r="B285" s="8" t="s">
        <v>51</v>
      </c>
      <c r="C285" s="7" t="s">
        <v>1924</v>
      </c>
      <c r="D285" s="3" t="s">
        <v>792</v>
      </c>
      <c r="E285" s="3" t="s">
        <v>1925</v>
      </c>
      <c r="F285" s="3"/>
      <c r="G285" s="3" t="s">
        <v>1926</v>
      </c>
      <c r="H285" s="3" t="s">
        <v>1927</v>
      </c>
      <c r="I285" s="3" t="s">
        <v>1928</v>
      </c>
      <c r="J285" s="3" t="s">
        <v>1929</v>
      </c>
      <c r="K285" s="3" t="s">
        <v>305</v>
      </c>
      <c r="L285" s="3" t="s">
        <v>384</v>
      </c>
    </row>
    <row r="286" spans="1:12">
      <c r="A286" s="3" t="s">
        <v>1930</v>
      </c>
      <c r="B286" s="8" t="s">
        <v>51</v>
      </c>
      <c r="C286" s="7" t="s">
        <v>1931</v>
      </c>
      <c r="D286" s="3" t="s">
        <v>1932</v>
      </c>
      <c r="E286" s="3" t="s">
        <v>1283</v>
      </c>
      <c r="F286" s="3" t="s">
        <v>1213</v>
      </c>
      <c r="G286" s="3" t="s">
        <v>1284</v>
      </c>
      <c r="H286" s="3" t="s">
        <v>1285</v>
      </c>
      <c r="I286" s="3" t="s">
        <v>1286</v>
      </c>
      <c r="J286" s="3" t="s">
        <v>1287</v>
      </c>
      <c r="K286" s="3" t="s">
        <v>874</v>
      </c>
      <c r="L286" s="3" t="s">
        <v>1930</v>
      </c>
    </row>
    <row r="287" spans="1:12">
      <c r="A287" s="3" t="s">
        <v>976</v>
      </c>
      <c r="B287" s="8" t="s">
        <v>51</v>
      </c>
      <c r="C287" s="7" t="s">
        <v>1933</v>
      </c>
      <c r="D287" s="3" t="s">
        <v>978</v>
      </c>
      <c r="E287" s="3" t="s">
        <v>1934</v>
      </c>
      <c r="F287" s="3" t="s">
        <v>1935</v>
      </c>
      <c r="G287" s="3" t="s">
        <v>1936</v>
      </c>
      <c r="H287" s="3" t="s">
        <v>1937</v>
      </c>
      <c r="I287" s="3" t="s">
        <v>1938</v>
      </c>
      <c r="J287" s="3" t="s">
        <v>1939</v>
      </c>
      <c r="K287" s="3" t="s">
        <v>305</v>
      </c>
      <c r="L287" s="3" t="s">
        <v>976</v>
      </c>
    </row>
    <row r="288" spans="1:12">
      <c r="A288" s="3" t="s">
        <v>384</v>
      </c>
      <c r="B288" s="8" t="s">
        <v>51</v>
      </c>
      <c r="C288" s="7" t="s">
        <v>1940</v>
      </c>
      <c r="D288" s="3" t="s">
        <v>792</v>
      </c>
      <c r="E288" s="3" t="s">
        <v>1941</v>
      </c>
      <c r="F288" s="3"/>
      <c r="G288" s="3" t="s">
        <v>1942</v>
      </c>
      <c r="H288" s="3" t="s">
        <v>795</v>
      </c>
      <c r="I288" s="3" t="s">
        <v>1943</v>
      </c>
      <c r="J288" s="3" t="s">
        <v>1944</v>
      </c>
      <c r="K288" s="3" t="s">
        <v>305</v>
      </c>
      <c r="L288" s="3" t="s">
        <v>384</v>
      </c>
    </row>
    <row r="289" spans="1:12">
      <c r="A289" s="3" t="s">
        <v>384</v>
      </c>
      <c r="B289" s="8" t="s">
        <v>51</v>
      </c>
      <c r="C289" s="7" t="s">
        <v>1945</v>
      </c>
      <c r="D289" s="3" t="s">
        <v>792</v>
      </c>
      <c r="E289" s="3" t="s">
        <v>1946</v>
      </c>
      <c r="F289" s="3"/>
      <c r="G289" s="3" t="s">
        <v>1947</v>
      </c>
      <c r="H289" s="3" t="s">
        <v>1948</v>
      </c>
      <c r="I289" s="3" t="s">
        <v>1949</v>
      </c>
      <c r="J289" s="3" t="s">
        <v>1718</v>
      </c>
      <c r="K289" s="3" t="s">
        <v>305</v>
      </c>
      <c r="L289" s="3" t="s">
        <v>384</v>
      </c>
    </row>
    <row r="290" spans="1:12">
      <c r="A290" s="3" t="s">
        <v>1000</v>
      </c>
      <c r="B290" s="8" t="s">
        <v>51</v>
      </c>
      <c r="C290" s="7" t="s">
        <v>1950</v>
      </c>
      <c r="D290" s="3" t="s">
        <v>1002</v>
      </c>
      <c r="E290" s="3" t="s">
        <v>1951</v>
      </c>
      <c r="F290" s="3" t="s">
        <v>1952</v>
      </c>
      <c r="G290" s="3" t="s">
        <v>1953</v>
      </c>
      <c r="H290" s="3" t="s">
        <v>1954</v>
      </c>
      <c r="I290" s="3" t="s">
        <v>1955</v>
      </c>
      <c r="J290" s="3" t="s">
        <v>1956</v>
      </c>
      <c r="K290" s="3" t="s">
        <v>305</v>
      </c>
      <c r="L290" s="3" t="s">
        <v>1000</v>
      </c>
    </row>
    <row r="291" spans="1:12">
      <c r="A291" s="3" t="s">
        <v>984</v>
      </c>
      <c r="B291" s="8" t="s">
        <v>51</v>
      </c>
      <c r="C291" s="7" t="s">
        <v>1957</v>
      </c>
      <c r="D291" s="3" t="s">
        <v>986</v>
      </c>
      <c r="E291" s="3" t="s">
        <v>1958</v>
      </c>
      <c r="F291" s="3" t="s">
        <v>1959</v>
      </c>
      <c r="G291" s="3" t="s">
        <v>1960</v>
      </c>
      <c r="H291" s="3" t="s">
        <v>1961</v>
      </c>
      <c r="I291" s="3" t="s">
        <v>1962</v>
      </c>
      <c r="J291" s="3" t="s">
        <v>1963</v>
      </c>
      <c r="K291" s="3" t="s">
        <v>305</v>
      </c>
      <c r="L291" s="3" t="s">
        <v>984</v>
      </c>
    </row>
    <row r="292" spans="1:12">
      <c r="A292" s="3" t="s">
        <v>384</v>
      </c>
      <c r="B292" s="8" t="s">
        <v>51</v>
      </c>
      <c r="C292" s="7" t="s">
        <v>1964</v>
      </c>
      <c r="D292" s="3" t="s">
        <v>792</v>
      </c>
      <c r="E292" s="3" t="s">
        <v>1965</v>
      </c>
      <c r="F292" s="3" t="s">
        <v>1966</v>
      </c>
      <c r="G292" s="3" t="s">
        <v>1967</v>
      </c>
      <c r="H292" s="3" t="s">
        <v>1968</v>
      </c>
      <c r="I292" s="3" t="s">
        <v>1969</v>
      </c>
      <c r="J292" s="3" t="s">
        <v>1970</v>
      </c>
      <c r="K292" s="3" t="s">
        <v>305</v>
      </c>
      <c r="L292" s="3" t="s">
        <v>384</v>
      </c>
    </row>
    <row r="293" spans="1:12">
      <c r="A293" s="3" t="s">
        <v>221</v>
      </c>
      <c r="B293" s="8" t="s">
        <v>51</v>
      </c>
      <c r="C293" s="7" t="s">
        <v>1971</v>
      </c>
      <c r="D293" s="3" t="s">
        <v>222</v>
      </c>
      <c r="E293" s="3" t="s">
        <v>1972</v>
      </c>
      <c r="F293" s="3" t="s">
        <v>1973</v>
      </c>
      <c r="G293" s="3" t="s">
        <v>1974</v>
      </c>
      <c r="H293" s="3" t="s">
        <v>1975</v>
      </c>
      <c r="I293" s="3" t="s">
        <v>1976</v>
      </c>
      <c r="J293" s="3" t="s">
        <v>1976</v>
      </c>
      <c r="K293" s="3" t="s">
        <v>1845</v>
      </c>
      <c r="L293" s="3" t="s">
        <v>221</v>
      </c>
    </row>
    <row r="294" spans="1:12">
      <c r="A294" s="3" t="s">
        <v>221</v>
      </c>
      <c r="B294" s="8" t="s">
        <v>51</v>
      </c>
      <c r="C294" s="7" t="s">
        <v>1977</v>
      </c>
      <c r="D294" s="3" t="s">
        <v>222</v>
      </c>
      <c r="E294" s="3" t="s">
        <v>1978</v>
      </c>
      <c r="F294" s="3" t="s">
        <v>505</v>
      </c>
      <c r="G294" s="3" t="s">
        <v>1246</v>
      </c>
      <c r="H294" s="3" t="s">
        <v>1247</v>
      </c>
      <c r="I294" s="3" t="s">
        <v>1979</v>
      </c>
      <c r="J294" s="3"/>
      <c r="K294" s="3" t="s">
        <v>305</v>
      </c>
      <c r="L294" s="3" t="s">
        <v>221</v>
      </c>
    </row>
    <row r="295" spans="1:12">
      <c r="A295" s="3" t="s">
        <v>976</v>
      </c>
      <c r="B295" s="8" t="s">
        <v>51</v>
      </c>
      <c r="C295" s="7" t="s">
        <v>1980</v>
      </c>
      <c r="D295" s="3" t="s">
        <v>978</v>
      </c>
      <c r="E295" s="3" t="s">
        <v>1981</v>
      </c>
      <c r="F295" s="3" t="s">
        <v>1982</v>
      </c>
      <c r="G295" s="3" t="s">
        <v>1983</v>
      </c>
      <c r="H295" s="3" t="s">
        <v>1984</v>
      </c>
      <c r="I295" s="3" t="s">
        <v>1985</v>
      </c>
      <c r="J295" s="3" t="s">
        <v>1986</v>
      </c>
      <c r="K295" s="3" t="s">
        <v>305</v>
      </c>
      <c r="L295" s="3" t="s">
        <v>976</v>
      </c>
    </row>
    <row r="296" spans="1:12">
      <c r="A296" s="3" t="s">
        <v>984</v>
      </c>
      <c r="B296" s="8" t="s">
        <v>51</v>
      </c>
      <c r="C296" s="7" t="s">
        <v>1987</v>
      </c>
      <c r="D296" s="3" t="s">
        <v>986</v>
      </c>
      <c r="E296" s="3" t="s">
        <v>1988</v>
      </c>
      <c r="F296" s="3"/>
      <c r="G296" s="3" t="s">
        <v>1989</v>
      </c>
      <c r="H296" s="3" t="s">
        <v>1990</v>
      </c>
      <c r="I296" s="3" t="s">
        <v>1991</v>
      </c>
      <c r="J296" s="3" t="s">
        <v>1992</v>
      </c>
      <c r="K296" s="3" t="s">
        <v>305</v>
      </c>
      <c r="L296" s="3" t="s">
        <v>984</v>
      </c>
    </row>
    <row r="297" spans="1:12">
      <c r="A297" s="3" t="s">
        <v>384</v>
      </c>
      <c r="B297" s="8" t="s">
        <v>51</v>
      </c>
      <c r="C297" s="7" t="s">
        <v>1993</v>
      </c>
      <c r="D297" s="3" t="s">
        <v>792</v>
      </c>
      <c r="E297" s="3" t="s">
        <v>1994</v>
      </c>
      <c r="F297" s="3" t="s">
        <v>839</v>
      </c>
      <c r="G297" s="3" t="s">
        <v>1995</v>
      </c>
      <c r="H297" s="3" t="s">
        <v>1996</v>
      </c>
      <c r="I297" s="3" t="s">
        <v>1997</v>
      </c>
      <c r="J297" s="3" t="s">
        <v>1998</v>
      </c>
      <c r="K297" s="3" t="s">
        <v>305</v>
      </c>
      <c r="L297" s="3" t="s">
        <v>384</v>
      </c>
    </row>
    <row r="298" spans="1:12">
      <c r="A298" s="3" t="s">
        <v>384</v>
      </c>
      <c r="B298" s="8" t="s">
        <v>51</v>
      </c>
      <c r="C298" s="7" t="s">
        <v>1999</v>
      </c>
      <c r="D298" s="3" t="s">
        <v>792</v>
      </c>
      <c r="E298" s="3" t="s">
        <v>2000</v>
      </c>
      <c r="F298" s="3"/>
      <c r="G298" s="3" t="s">
        <v>2001</v>
      </c>
      <c r="H298" s="3" t="s">
        <v>2002</v>
      </c>
      <c r="I298" s="3" t="s">
        <v>2003</v>
      </c>
      <c r="J298" s="3" t="s">
        <v>2004</v>
      </c>
      <c r="K298" s="3" t="s">
        <v>305</v>
      </c>
      <c r="L298" s="3" t="s">
        <v>384</v>
      </c>
    </row>
    <row r="299" spans="1:12">
      <c r="A299" s="3" t="s">
        <v>1000</v>
      </c>
      <c r="B299" s="8" t="s">
        <v>51</v>
      </c>
      <c r="C299" s="7" t="s">
        <v>2005</v>
      </c>
      <c r="D299" s="3" t="s">
        <v>1002</v>
      </c>
      <c r="E299" s="3" t="s">
        <v>2006</v>
      </c>
      <c r="F299" s="3" t="s">
        <v>2007</v>
      </c>
      <c r="G299" s="3" t="s">
        <v>2007</v>
      </c>
      <c r="H299" s="3" t="s">
        <v>2008</v>
      </c>
      <c r="I299" s="3" t="s">
        <v>2009</v>
      </c>
      <c r="J299" s="3" t="s">
        <v>2010</v>
      </c>
      <c r="K299" s="3" t="s">
        <v>305</v>
      </c>
      <c r="L299" s="3" t="s">
        <v>1000</v>
      </c>
    </row>
    <row r="300" spans="1:12">
      <c r="A300" s="3" t="s">
        <v>1000</v>
      </c>
      <c r="B300" s="8" t="s">
        <v>51</v>
      </c>
      <c r="C300" s="7" t="s">
        <v>2011</v>
      </c>
      <c r="D300" s="3" t="s">
        <v>1002</v>
      </c>
      <c r="E300" s="3" t="s">
        <v>2012</v>
      </c>
      <c r="F300" s="3" t="s">
        <v>1629</v>
      </c>
      <c r="G300" s="3" t="s">
        <v>2013</v>
      </c>
      <c r="H300" s="3" t="s">
        <v>2014</v>
      </c>
      <c r="I300" s="3" t="s">
        <v>2015</v>
      </c>
      <c r="J300" s="3" t="s">
        <v>2016</v>
      </c>
      <c r="K300" s="3" t="s">
        <v>305</v>
      </c>
      <c r="L300" s="3" t="s">
        <v>1000</v>
      </c>
    </row>
    <row r="301" spans="1:12">
      <c r="A301" s="3" t="s">
        <v>866</v>
      </c>
      <c r="B301" s="8" t="s">
        <v>51</v>
      </c>
      <c r="C301" s="7" t="s">
        <v>2017</v>
      </c>
      <c r="D301" s="3" t="s">
        <v>868</v>
      </c>
      <c r="E301" s="3" t="s">
        <v>2018</v>
      </c>
      <c r="F301" s="3" t="s">
        <v>2019</v>
      </c>
      <c r="G301" s="3" t="s">
        <v>2020</v>
      </c>
      <c r="H301" s="3" t="s">
        <v>2021</v>
      </c>
      <c r="I301" s="3" t="s">
        <v>2022</v>
      </c>
      <c r="J301" s="3" t="s">
        <v>2023</v>
      </c>
      <c r="K301" s="3" t="s">
        <v>305</v>
      </c>
      <c r="L301" s="3" t="s">
        <v>866</v>
      </c>
    </row>
    <row r="302" spans="1:12">
      <c r="A302" s="3" t="s">
        <v>866</v>
      </c>
      <c r="B302" s="8" t="s">
        <v>51</v>
      </c>
      <c r="C302" s="7" t="s">
        <v>2024</v>
      </c>
      <c r="D302" s="3" t="s">
        <v>868</v>
      </c>
      <c r="E302" s="3" t="s">
        <v>2025</v>
      </c>
      <c r="F302" s="3" t="s">
        <v>2026</v>
      </c>
      <c r="G302" s="3" t="s">
        <v>2027</v>
      </c>
      <c r="H302" s="3" t="s">
        <v>2028</v>
      </c>
      <c r="I302" s="3" t="s">
        <v>2029</v>
      </c>
      <c r="J302" s="3" t="s">
        <v>2030</v>
      </c>
      <c r="K302" s="3" t="s">
        <v>874</v>
      </c>
      <c r="L302" s="3" t="s">
        <v>866</v>
      </c>
    </row>
    <row r="303" spans="1:12">
      <c r="A303" s="3" t="s">
        <v>221</v>
      </c>
      <c r="B303" s="8" t="s">
        <v>51</v>
      </c>
      <c r="C303" s="7" t="s">
        <v>2031</v>
      </c>
      <c r="D303" s="3" t="s">
        <v>222</v>
      </c>
      <c r="E303" s="3" t="s">
        <v>2032</v>
      </c>
      <c r="F303" s="3" t="s">
        <v>632</v>
      </c>
      <c r="G303" s="3" t="s">
        <v>2033</v>
      </c>
      <c r="H303" s="3" t="s">
        <v>2034</v>
      </c>
      <c r="I303" s="3" t="s">
        <v>2035</v>
      </c>
      <c r="J303" s="3" t="s">
        <v>2036</v>
      </c>
      <c r="K303" s="3" t="s">
        <v>305</v>
      </c>
      <c r="L303" s="3" t="s">
        <v>221</v>
      </c>
    </row>
    <row r="304" spans="1:12">
      <c r="A304" s="3" t="s">
        <v>1000</v>
      </c>
      <c r="B304" s="8" t="s">
        <v>51</v>
      </c>
      <c r="C304" s="7" t="s">
        <v>2037</v>
      </c>
      <c r="D304" s="3" t="s">
        <v>1002</v>
      </c>
      <c r="E304" s="3" t="s">
        <v>2038</v>
      </c>
      <c r="F304" s="3" t="s">
        <v>2039</v>
      </c>
      <c r="G304" s="3" t="s">
        <v>2040</v>
      </c>
      <c r="H304" s="3" t="s">
        <v>2041</v>
      </c>
      <c r="I304" s="3" t="s">
        <v>2042</v>
      </c>
      <c r="J304" s="3" t="s">
        <v>2043</v>
      </c>
      <c r="K304" s="3" t="s">
        <v>305</v>
      </c>
      <c r="L304" s="3" t="s">
        <v>1000</v>
      </c>
    </row>
    <row r="305" spans="1:12">
      <c r="A305" s="3" t="s">
        <v>976</v>
      </c>
      <c r="B305" s="8" t="s">
        <v>51</v>
      </c>
      <c r="C305" s="7" t="s">
        <v>2044</v>
      </c>
      <c r="D305" s="3" t="s">
        <v>978</v>
      </c>
      <c r="E305" s="3" t="s">
        <v>2045</v>
      </c>
      <c r="F305" s="3" t="s">
        <v>1173</v>
      </c>
      <c r="G305" s="3" t="s">
        <v>2046</v>
      </c>
      <c r="H305" s="3" t="s">
        <v>2047</v>
      </c>
      <c r="I305" s="3" t="s">
        <v>2048</v>
      </c>
      <c r="J305" s="3" t="s">
        <v>2049</v>
      </c>
      <c r="K305" s="3" t="s">
        <v>305</v>
      </c>
      <c r="L305" s="3" t="s">
        <v>976</v>
      </c>
    </row>
    <row r="306" spans="1:12">
      <c r="A306" s="3" t="s">
        <v>1000</v>
      </c>
      <c r="B306" s="8" t="s">
        <v>51</v>
      </c>
      <c r="C306" s="7" t="s">
        <v>2050</v>
      </c>
      <c r="D306" s="3" t="s">
        <v>1002</v>
      </c>
      <c r="E306" s="3" t="s">
        <v>2051</v>
      </c>
      <c r="F306" s="3"/>
      <c r="G306" s="3" t="s">
        <v>2052</v>
      </c>
      <c r="H306" s="3" t="s">
        <v>2053</v>
      </c>
      <c r="I306" s="3" t="s">
        <v>2054</v>
      </c>
      <c r="J306" s="3" t="s">
        <v>2055</v>
      </c>
      <c r="K306" s="3" t="s">
        <v>305</v>
      </c>
      <c r="L306" s="3" t="s">
        <v>1000</v>
      </c>
    </row>
    <row r="307" spans="1:12">
      <c r="A307" s="3" t="s">
        <v>866</v>
      </c>
      <c r="B307" s="8" t="s">
        <v>51</v>
      </c>
      <c r="C307" s="7" t="s">
        <v>2056</v>
      </c>
      <c r="D307" s="3" t="s">
        <v>868</v>
      </c>
      <c r="E307" s="3" t="s">
        <v>2057</v>
      </c>
      <c r="F307" s="3"/>
      <c r="G307" s="3" t="s">
        <v>2058</v>
      </c>
      <c r="H307" s="3" t="s">
        <v>2059</v>
      </c>
      <c r="I307" s="3" t="s">
        <v>2060</v>
      </c>
      <c r="J307" s="3" t="s">
        <v>2061</v>
      </c>
      <c r="K307" s="3" t="s">
        <v>874</v>
      </c>
      <c r="L307" s="3" t="s">
        <v>866</v>
      </c>
    </row>
    <row r="308" spans="1:12">
      <c r="A308" s="3" t="s">
        <v>221</v>
      </c>
      <c r="B308" s="8" t="s">
        <v>51</v>
      </c>
      <c r="C308" s="7" t="s">
        <v>2062</v>
      </c>
      <c r="D308" s="3" t="s">
        <v>222</v>
      </c>
      <c r="E308" s="3" t="s">
        <v>2063</v>
      </c>
      <c r="F308" s="3" t="s">
        <v>323</v>
      </c>
      <c r="G308" s="3" t="s">
        <v>2064</v>
      </c>
      <c r="H308" s="3" t="s">
        <v>2065</v>
      </c>
      <c r="I308" s="3" t="s">
        <v>2062</v>
      </c>
      <c r="J308" s="3" t="s">
        <v>2066</v>
      </c>
      <c r="K308" s="3" t="s">
        <v>305</v>
      </c>
      <c r="L308" s="3" t="s">
        <v>221</v>
      </c>
    </row>
    <row r="309" spans="1:12">
      <c r="A309" s="3" t="s">
        <v>820</v>
      </c>
      <c r="B309" s="8" t="s">
        <v>51</v>
      </c>
      <c r="C309" s="7" t="s">
        <v>2067</v>
      </c>
      <c r="D309" s="3" t="s">
        <v>822</v>
      </c>
      <c r="E309" s="3" t="s">
        <v>2068</v>
      </c>
      <c r="F309" s="3"/>
      <c r="G309" s="3" t="s">
        <v>2069</v>
      </c>
      <c r="H309" s="3" t="s">
        <v>2070</v>
      </c>
      <c r="I309" s="3" t="s">
        <v>2071</v>
      </c>
      <c r="J309" s="3" t="s">
        <v>2072</v>
      </c>
      <c r="K309" s="3" t="s">
        <v>305</v>
      </c>
      <c r="L309" s="3" t="s">
        <v>820</v>
      </c>
    </row>
    <row r="310" spans="1:12">
      <c r="A310" s="3" t="s">
        <v>221</v>
      </c>
      <c r="B310" s="8" t="s">
        <v>51</v>
      </c>
      <c r="C310" s="7" t="s">
        <v>2073</v>
      </c>
      <c r="D310" s="3" t="s">
        <v>222</v>
      </c>
      <c r="E310" s="3" t="s">
        <v>2074</v>
      </c>
      <c r="F310" s="3" t="s">
        <v>323</v>
      </c>
      <c r="G310" s="3" t="s">
        <v>2075</v>
      </c>
      <c r="H310" s="3" t="s">
        <v>2076</v>
      </c>
      <c r="I310" s="3" t="s">
        <v>2077</v>
      </c>
      <c r="J310" s="3" t="s">
        <v>2077</v>
      </c>
      <c r="K310" s="3" t="s">
        <v>305</v>
      </c>
      <c r="L310" s="3" t="s">
        <v>221</v>
      </c>
    </row>
    <row r="311" spans="1:12">
      <c r="A311" s="3" t="s">
        <v>820</v>
      </c>
      <c r="B311" s="8" t="s">
        <v>51</v>
      </c>
      <c r="C311" s="7" t="s">
        <v>2078</v>
      </c>
      <c r="D311" s="3" t="s">
        <v>822</v>
      </c>
      <c r="E311" s="3" t="s">
        <v>2079</v>
      </c>
      <c r="F311" s="3" t="s">
        <v>2080</v>
      </c>
      <c r="G311" s="3" t="s">
        <v>2081</v>
      </c>
      <c r="H311" s="3" t="s">
        <v>2082</v>
      </c>
      <c r="I311" s="3" t="s">
        <v>2083</v>
      </c>
      <c r="J311" s="3" t="s">
        <v>2083</v>
      </c>
      <c r="K311" s="3" t="s">
        <v>305</v>
      </c>
      <c r="L311" s="3" t="s">
        <v>820</v>
      </c>
    </row>
    <row r="312" spans="1:12">
      <c r="A312" s="3" t="s">
        <v>221</v>
      </c>
      <c r="B312" s="8" t="s">
        <v>51</v>
      </c>
      <c r="C312" s="7" t="s">
        <v>2084</v>
      </c>
      <c r="D312" s="3" t="s">
        <v>222</v>
      </c>
      <c r="E312" s="3" t="s">
        <v>2085</v>
      </c>
      <c r="F312" s="3" t="s">
        <v>323</v>
      </c>
      <c r="G312" s="3" t="s">
        <v>2075</v>
      </c>
      <c r="H312" s="3" t="s">
        <v>2076</v>
      </c>
      <c r="I312" s="3" t="s">
        <v>2086</v>
      </c>
      <c r="J312" s="3" t="s">
        <v>682</v>
      </c>
      <c r="K312" s="3" t="s">
        <v>305</v>
      </c>
      <c r="L312" s="3" t="s">
        <v>221</v>
      </c>
    </row>
    <row r="313" spans="1:12">
      <c r="A313" s="3" t="s">
        <v>323</v>
      </c>
      <c r="B313" s="8" t="s">
        <v>51</v>
      </c>
      <c r="C313" s="7" t="s">
        <v>2087</v>
      </c>
      <c r="D313" s="3" t="s">
        <v>2088</v>
      </c>
      <c r="E313" s="3" t="s">
        <v>2089</v>
      </c>
      <c r="F313" s="3" t="s">
        <v>2090</v>
      </c>
      <c r="G313" s="3" t="s">
        <v>2091</v>
      </c>
      <c r="H313" s="3" t="s">
        <v>2092</v>
      </c>
      <c r="I313" s="3" t="s">
        <v>2093</v>
      </c>
      <c r="J313" s="3" t="s">
        <v>2093</v>
      </c>
      <c r="K313" s="3" t="s">
        <v>305</v>
      </c>
      <c r="L313" s="3" t="s">
        <v>323</v>
      </c>
    </row>
    <row r="314" spans="1:12">
      <c r="A314" s="3" t="s">
        <v>323</v>
      </c>
      <c r="B314" s="8" t="s">
        <v>51</v>
      </c>
      <c r="C314" s="7" t="s">
        <v>2094</v>
      </c>
      <c r="D314" s="3" t="s">
        <v>2088</v>
      </c>
      <c r="E314" s="3" t="s">
        <v>2095</v>
      </c>
      <c r="F314" s="3" t="s">
        <v>2096</v>
      </c>
      <c r="G314" s="3" t="s">
        <v>2097</v>
      </c>
      <c r="H314" s="3" t="s">
        <v>2098</v>
      </c>
      <c r="I314" s="3" t="s">
        <v>2099</v>
      </c>
      <c r="J314" s="3" t="s">
        <v>2099</v>
      </c>
      <c r="K314" s="3" t="s">
        <v>305</v>
      </c>
      <c r="L314" s="3" t="s">
        <v>323</v>
      </c>
    </row>
    <row r="315" spans="1:12">
      <c r="A315" s="3" t="s">
        <v>323</v>
      </c>
      <c r="B315" s="8" t="s">
        <v>51</v>
      </c>
      <c r="C315" s="7" t="s">
        <v>2100</v>
      </c>
      <c r="D315" s="3" t="s">
        <v>2088</v>
      </c>
      <c r="E315" s="3" t="s">
        <v>2101</v>
      </c>
      <c r="F315" s="3" t="s">
        <v>2096</v>
      </c>
      <c r="G315" s="3" t="s">
        <v>2102</v>
      </c>
      <c r="H315" s="3" t="s">
        <v>2103</v>
      </c>
      <c r="I315" s="3" t="s">
        <v>2104</v>
      </c>
      <c r="J315" s="3" t="s">
        <v>2104</v>
      </c>
      <c r="K315" s="3" t="s">
        <v>305</v>
      </c>
      <c r="L315" s="3" t="s">
        <v>323</v>
      </c>
    </row>
    <row r="316" spans="1:12">
      <c r="A316" s="3" t="s">
        <v>323</v>
      </c>
      <c r="B316" s="8" t="s">
        <v>51</v>
      </c>
      <c r="C316" s="7" t="s">
        <v>2105</v>
      </c>
      <c r="D316" s="3" t="s">
        <v>2088</v>
      </c>
      <c r="E316" s="3" t="s">
        <v>2106</v>
      </c>
      <c r="F316" s="3" t="s">
        <v>2096</v>
      </c>
      <c r="G316" s="3" t="s">
        <v>2107</v>
      </c>
      <c r="H316" s="3" t="s">
        <v>2108</v>
      </c>
      <c r="I316" s="3" t="s">
        <v>2109</v>
      </c>
      <c r="J316" s="3" t="s">
        <v>2109</v>
      </c>
      <c r="K316" s="3" t="s">
        <v>305</v>
      </c>
      <c r="L316" s="3" t="s">
        <v>323</v>
      </c>
    </row>
    <row r="317" spans="1:12">
      <c r="A317" s="3" t="s">
        <v>323</v>
      </c>
      <c r="B317" s="8" t="s">
        <v>51</v>
      </c>
      <c r="C317" s="7" t="s">
        <v>2110</v>
      </c>
      <c r="D317" s="3" t="s">
        <v>2088</v>
      </c>
      <c r="E317" s="3" t="s">
        <v>2111</v>
      </c>
      <c r="F317" s="3" t="s">
        <v>2112</v>
      </c>
      <c r="G317" s="3" t="s">
        <v>2113</v>
      </c>
      <c r="H317" s="3" t="s">
        <v>2114</v>
      </c>
      <c r="I317" s="3" t="s">
        <v>2115</v>
      </c>
      <c r="J317" s="3" t="s">
        <v>2115</v>
      </c>
      <c r="K317" s="3" t="s">
        <v>305</v>
      </c>
      <c r="L317" s="3" t="s">
        <v>323</v>
      </c>
    </row>
    <row r="318" spans="1:12">
      <c r="A318" s="3" t="s">
        <v>323</v>
      </c>
      <c r="B318" s="8" t="s">
        <v>51</v>
      </c>
      <c r="C318" s="7" t="s">
        <v>2116</v>
      </c>
      <c r="D318" s="3" t="s">
        <v>2088</v>
      </c>
      <c r="E318" s="3" t="s">
        <v>2117</v>
      </c>
      <c r="F318" s="3" t="s">
        <v>2112</v>
      </c>
      <c r="G318" s="3" t="s">
        <v>2118</v>
      </c>
      <c r="H318" s="3" t="s">
        <v>2119</v>
      </c>
      <c r="I318" s="3" t="s">
        <v>2120</v>
      </c>
      <c r="J318" s="3" t="s">
        <v>2120</v>
      </c>
      <c r="K318" s="3" t="s">
        <v>305</v>
      </c>
      <c r="L318" s="3" t="s">
        <v>323</v>
      </c>
    </row>
    <row r="319" spans="1:12">
      <c r="A319" s="3" t="s">
        <v>323</v>
      </c>
      <c r="B319" s="8" t="s">
        <v>51</v>
      </c>
      <c r="C319" s="7" t="s">
        <v>2121</v>
      </c>
      <c r="D319" s="3" t="s">
        <v>2088</v>
      </c>
      <c r="E319" s="3" t="s">
        <v>2122</v>
      </c>
      <c r="F319" s="3" t="s">
        <v>2090</v>
      </c>
      <c r="G319" s="3" t="s">
        <v>2123</v>
      </c>
      <c r="H319" s="3" t="s">
        <v>2124</v>
      </c>
      <c r="I319" s="3" t="s">
        <v>2125</v>
      </c>
      <c r="J319" s="3" t="s">
        <v>2125</v>
      </c>
      <c r="K319" s="3" t="s">
        <v>305</v>
      </c>
      <c r="L319" s="3" t="s">
        <v>323</v>
      </c>
    </row>
    <row r="320" spans="1:12">
      <c r="A320" s="3" t="s">
        <v>323</v>
      </c>
      <c r="B320" s="8" t="s">
        <v>51</v>
      </c>
      <c r="C320" s="7" t="s">
        <v>2126</v>
      </c>
      <c r="D320" s="3" t="s">
        <v>2088</v>
      </c>
      <c r="E320" s="3" t="s">
        <v>2127</v>
      </c>
      <c r="F320" s="3" t="s">
        <v>2090</v>
      </c>
      <c r="G320" s="3" t="s">
        <v>2128</v>
      </c>
      <c r="H320" s="3" t="s">
        <v>2129</v>
      </c>
      <c r="I320" s="3" t="s">
        <v>2130</v>
      </c>
      <c r="J320" s="3" t="s">
        <v>2130</v>
      </c>
      <c r="K320" s="3" t="s">
        <v>305</v>
      </c>
      <c r="L320" s="3" t="s">
        <v>323</v>
      </c>
    </row>
    <row r="321" spans="1:12">
      <c r="A321" s="3" t="s">
        <v>323</v>
      </c>
      <c r="B321" s="8" t="s">
        <v>51</v>
      </c>
      <c r="C321" s="7" t="s">
        <v>2131</v>
      </c>
      <c r="D321" s="3" t="s">
        <v>2088</v>
      </c>
      <c r="E321" s="3" t="s">
        <v>2132</v>
      </c>
      <c r="F321" s="3" t="s">
        <v>2090</v>
      </c>
      <c r="G321" s="3" t="s">
        <v>2133</v>
      </c>
      <c r="H321" s="3" t="s">
        <v>2134</v>
      </c>
      <c r="I321" s="3" t="s">
        <v>2135</v>
      </c>
      <c r="J321" s="3" t="s">
        <v>2135</v>
      </c>
      <c r="K321" s="3" t="s">
        <v>305</v>
      </c>
      <c r="L321" s="3" t="s">
        <v>323</v>
      </c>
    </row>
    <row r="322" spans="1:12">
      <c r="A322" s="3" t="s">
        <v>323</v>
      </c>
      <c r="B322" s="8" t="s">
        <v>51</v>
      </c>
      <c r="C322" s="7" t="s">
        <v>2136</v>
      </c>
      <c r="D322" s="3" t="s">
        <v>2088</v>
      </c>
      <c r="E322" s="3" t="s">
        <v>2137</v>
      </c>
      <c r="F322" s="3" t="s">
        <v>2090</v>
      </c>
      <c r="G322" s="3" t="s">
        <v>2133</v>
      </c>
      <c r="H322" s="3" t="s">
        <v>2138</v>
      </c>
      <c r="I322" s="3" t="s">
        <v>2139</v>
      </c>
      <c r="J322" s="3" t="s">
        <v>2139</v>
      </c>
      <c r="K322" s="3" t="s">
        <v>305</v>
      </c>
      <c r="L322" s="3" t="s">
        <v>323</v>
      </c>
    </row>
    <row r="323" spans="1:12">
      <c r="A323" s="3" t="s">
        <v>323</v>
      </c>
      <c r="B323" s="8" t="s">
        <v>51</v>
      </c>
      <c r="C323" s="7" t="s">
        <v>2140</v>
      </c>
      <c r="D323" s="3" t="s">
        <v>2088</v>
      </c>
      <c r="E323" s="3" t="s">
        <v>2141</v>
      </c>
      <c r="F323" s="3" t="s">
        <v>2090</v>
      </c>
      <c r="G323" s="3" t="s">
        <v>2142</v>
      </c>
      <c r="H323" s="3" t="s">
        <v>2143</v>
      </c>
      <c r="I323" s="3" t="s">
        <v>2144</v>
      </c>
      <c r="J323" s="3" t="s">
        <v>2144</v>
      </c>
      <c r="K323" s="3" t="s">
        <v>305</v>
      </c>
      <c r="L323" s="3" t="s">
        <v>323</v>
      </c>
    </row>
    <row r="324" spans="1:12">
      <c r="A324" s="3" t="s">
        <v>323</v>
      </c>
      <c r="B324" s="8" t="s">
        <v>51</v>
      </c>
      <c r="C324" s="7" t="s">
        <v>2145</v>
      </c>
      <c r="D324" s="3" t="s">
        <v>2088</v>
      </c>
      <c r="E324" s="3" t="s">
        <v>2146</v>
      </c>
      <c r="F324" s="3" t="s">
        <v>2090</v>
      </c>
      <c r="G324" s="3" t="s">
        <v>2147</v>
      </c>
      <c r="H324" s="3" t="s">
        <v>2148</v>
      </c>
      <c r="I324" s="3" t="s">
        <v>2149</v>
      </c>
      <c r="J324" s="3" t="s">
        <v>2149</v>
      </c>
      <c r="K324" s="3" t="s">
        <v>305</v>
      </c>
      <c r="L324" s="3" t="s">
        <v>323</v>
      </c>
    </row>
    <row r="325" spans="1:12">
      <c r="A325" s="3" t="s">
        <v>323</v>
      </c>
      <c r="B325" s="8" t="s">
        <v>51</v>
      </c>
      <c r="C325" s="7" t="s">
        <v>2150</v>
      </c>
      <c r="D325" s="3" t="s">
        <v>2088</v>
      </c>
      <c r="E325" s="3" t="s">
        <v>2151</v>
      </c>
      <c r="F325" s="3" t="s">
        <v>2152</v>
      </c>
      <c r="G325" s="3" t="s">
        <v>2153</v>
      </c>
      <c r="H325" s="3" t="s">
        <v>2154</v>
      </c>
      <c r="I325" s="3" t="s">
        <v>2155</v>
      </c>
      <c r="J325" s="3" t="s">
        <v>2155</v>
      </c>
      <c r="K325" s="3" t="s">
        <v>305</v>
      </c>
      <c r="L325" s="3" t="s">
        <v>323</v>
      </c>
    </row>
    <row r="326" spans="1:12">
      <c r="A326" s="3" t="s">
        <v>323</v>
      </c>
      <c r="B326" s="8" t="s">
        <v>51</v>
      </c>
      <c r="C326" s="7" t="s">
        <v>2156</v>
      </c>
      <c r="D326" s="3" t="s">
        <v>2088</v>
      </c>
      <c r="E326" s="3" t="s">
        <v>2157</v>
      </c>
      <c r="F326" s="3" t="s">
        <v>2090</v>
      </c>
      <c r="G326" s="3" t="s">
        <v>2158</v>
      </c>
      <c r="H326" s="3" t="s">
        <v>2159</v>
      </c>
      <c r="I326" s="3" t="s">
        <v>2160</v>
      </c>
      <c r="J326" s="3" t="s">
        <v>2160</v>
      </c>
      <c r="K326" s="3" t="s">
        <v>305</v>
      </c>
      <c r="L326" s="3" t="s">
        <v>323</v>
      </c>
    </row>
    <row r="327" spans="1:12">
      <c r="A327" s="3" t="s">
        <v>323</v>
      </c>
      <c r="B327" s="8" t="s">
        <v>51</v>
      </c>
      <c r="C327" s="7" t="s">
        <v>2161</v>
      </c>
      <c r="D327" s="3" t="s">
        <v>2088</v>
      </c>
      <c r="E327" s="3" t="s">
        <v>2162</v>
      </c>
      <c r="F327" s="3" t="s">
        <v>2090</v>
      </c>
      <c r="G327" s="3" t="s">
        <v>2163</v>
      </c>
      <c r="H327" s="3" t="s">
        <v>2164</v>
      </c>
      <c r="I327" s="3" t="s">
        <v>2165</v>
      </c>
      <c r="J327" s="3" t="s">
        <v>2165</v>
      </c>
      <c r="K327" s="3" t="s">
        <v>305</v>
      </c>
      <c r="L327" s="3" t="s">
        <v>323</v>
      </c>
    </row>
    <row r="328" spans="1:12">
      <c r="A328" s="3" t="s">
        <v>323</v>
      </c>
      <c r="B328" s="8" t="s">
        <v>51</v>
      </c>
      <c r="C328" s="7" t="s">
        <v>2166</v>
      </c>
      <c r="D328" s="3" t="s">
        <v>2088</v>
      </c>
      <c r="E328" s="3" t="s">
        <v>2167</v>
      </c>
      <c r="F328" s="3" t="s">
        <v>2096</v>
      </c>
      <c r="G328" s="3" t="s">
        <v>680</v>
      </c>
      <c r="H328" s="3" t="s">
        <v>2168</v>
      </c>
      <c r="I328" s="3" t="s">
        <v>2169</v>
      </c>
      <c r="J328" s="3" t="s">
        <v>2169</v>
      </c>
      <c r="K328" s="3" t="s">
        <v>305</v>
      </c>
      <c r="L328" s="3" t="s">
        <v>323</v>
      </c>
    </row>
    <row r="329" spans="1:12">
      <c r="A329" s="3" t="s">
        <v>323</v>
      </c>
      <c r="B329" s="8" t="s">
        <v>51</v>
      </c>
      <c r="C329" s="7" t="s">
        <v>2170</v>
      </c>
      <c r="D329" s="3" t="s">
        <v>2088</v>
      </c>
      <c r="E329" s="3" t="s">
        <v>2171</v>
      </c>
      <c r="F329" s="3" t="s">
        <v>2090</v>
      </c>
      <c r="G329" s="3" t="s">
        <v>2172</v>
      </c>
      <c r="H329" s="3" t="s">
        <v>2173</v>
      </c>
      <c r="I329" s="3" t="s">
        <v>2174</v>
      </c>
      <c r="J329" s="3" t="s">
        <v>2174</v>
      </c>
      <c r="K329" s="3" t="s">
        <v>305</v>
      </c>
      <c r="L329" s="3" t="s">
        <v>323</v>
      </c>
    </row>
    <row r="330" spans="1:12">
      <c r="A330" s="3" t="s">
        <v>976</v>
      </c>
      <c r="B330" s="8" t="s">
        <v>51</v>
      </c>
      <c r="C330" s="7" t="s">
        <v>2175</v>
      </c>
      <c r="D330" s="3" t="s">
        <v>978</v>
      </c>
      <c r="E330" s="3" t="s">
        <v>2176</v>
      </c>
      <c r="F330" s="3" t="s">
        <v>980</v>
      </c>
      <c r="G330" s="3" t="s">
        <v>2177</v>
      </c>
      <c r="H330" s="3" t="s">
        <v>2178</v>
      </c>
      <c r="I330" s="3" t="s">
        <v>2179</v>
      </c>
      <c r="J330" s="3" t="s">
        <v>2180</v>
      </c>
      <c r="K330" s="3" t="s">
        <v>305</v>
      </c>
      <c r="L330" s="3" t="s">
        <v>976</v>
      </c>
    </row>
    <row r="331" spans="1:12">
      <c r="A331" s="3" t="s">
        <v>866</v>
      </c>
      <c r="B331" s="8" t="s">
        <v>51</v>
      </c>
      <c r="C331" s="7" t="s">
        <v>2181</v>
      </c>
      <c r="D331" s="3" t="s">
        <v>868</v>
      </c>
      <c r="E331" s="3" t="s">
        <v>2182</v>
      </c>
      <c r="F331" s="3" t="s">
        <v>2183</v>
      </c>
      <c r="G331" s="3" t="s">
        <v>2184</v>
      </c>
      <c r="H331" s="3" t="s">
        <v>2185</v>
      </c>
      <c r="I331" s="3" t="s">
        <v>2186</v>
      </c>
      <c r="J331" s="3" t="s">
        <v>2187</v>
      </c>
      <c r="K331" s="3" t="s">
        <v>305</v>
      </c>
      <c r="L331" s="3" t="s">
        <v>866</v>
      </c>
    </row>
    <row r="332" spans="1:12">
      <c r="A332" s="3" t="s">
        <v>384</v>
      </c>
      <c r="B332" s="8" t="s">
        <v>51</v>
      </c>
      <c r="C332" s="7" t="s">
        <v>2188</v>
      </c>
      <c r="D332" s="3" t="s">
        <v>792</v>
      </c>
      <c r="E332" s="3" t="s">
        <v>844</v>
      </c>
      <c r="F332" s="3" t="s">
        <v>839</v>
      </c>
      <c r="G332" s="3" t="s">
        <v>838</v>
      </c>
      <c r="H332" s="3" t="s">
        <v>840</v>
      </c>
      <c r="I332" s="3" t="s">
        <v>2189</v>
      </c>
      <c r="J332" s="3" t="s">
        <v>846</v>
      </c>
      <c r="K332" s="3" t="s">
        <v>305</v>
      </c>
      <c r="L332" s="3" t="s">
        <v>384</v>
      </c>
    </row>
    <row r="333" spans="1:12">
      <c r="A333" s="3" t="s">
        <v>221</v>
      </c>
      <c r="B333" s="8" t="s">
        <v>51</v>
      </c>
      <c r="C333" s="7" t="s">
        <v>2190</v>
      </c>
      <c r="D333" s="3" t="s">
        <v>222</v>
      </c>
      <c r="E333" s="3" t="s">
        <v>2191</v>
      </c>
      <c r="F333" s="3" t="s">
        <v>685</v>
      </c>
      <c r="G333" s="3" t="s">
        <v>2192</v>
      </c>
      <c r="H333" s="3" t="s">
        <v>2193</v>
      </c>
      <c r="I333" s="3" t="s">
        <v>2194</v>
      </c>
      <c r="J333" s="3" t="s">
        <v>2194</v>
      </c>
      <c r="K333" s="3" t="s">
        <v>305</v>
      </c>
      <c r="L333" s="3" t="s">
        <v>221</v>
      </c>
    </row>
    <row r="334" spans="1:12">
      <c r="A334" s="3" t="s">
        <v>984</v>
      </c>
      <c r="B334" s="8" t="s">
        <v>51</v>
      </c>
      <c r="C334" s="7" t="s">
        <v>2195</v>
      </c>
      <c r="D334" s="3" t="s">
        <v>986</v>
      </c>
      <c r="E334" s="3" t="s">
        <v>2196</v>
      </c>
      <c r="F334" s="3" t="s">
        <v>2197</v>
      </c>
      <c r="G334" s="3" t="s">
        <v>2198</v>
      </c>
      <c r="H334" s="3" t="s">
        <v>2199</v>
      </c>
      <c r="I334" s="3" t="s">
        <v>2200</v>
      </c>
      <c r="J334" s="3" t="s">
        <v>2201</v>
      </c>
      <c r="K334" s="3" t="s">
        <v>305</v>
      </c>
      <c r="L334" s="3" t="s">
        <v>984</v>
      </c>
    </row>
    <row r="335" spans="1:12">
      <c r="A335" s="3" t="s">
        <v>221</v>
      </c>
      <c r="B335" s="8" t="s">
        <v>51</v>
      </c>
      <c r="C335" s="7" t="s">
        <v>2202</v>
      </c>
      <c r="D335" s="3" t="s">
        <v>222</v>
      </c>
      <c r="E335" s="3" t="s">
        <v>2203</v>
      </c>
      <c r="F335" s="3" t="s">
        <v>667</v>
      </c>
      <c r="G335" s="3" t="s">
        <v>2204</v>
      </c>
      <c r="H335" s="3" t="s">
        <v>2205</v>
      </c>
      <c r="I335" s="3" t="s">
        <v>2206</v>
      </c>
      <c r="J335" s="3" t="s">
        <v>682</v>
      </c>
      <c r="K335" s="3" t="s">
        <v>305</v>
      </c>
      <c r="L335" s="3" t="s">
        <v>221</v>
      </c>
    </row>
    <row r="336" spans="1:12">
      <c r="A336" s="3" t="s">
        <v>1000</v>
      </c>
      <c r="B336" s="8" t="s">
        <v>51</v>
      </c>
      <c r="C336" s="7" t="s">
        <v>2207</v>
      </c>
      <c r="D336" s="3" t="s">
        <v>1002</v>
      </c>
      <c r="E336" s="3" t="s">
        <v>2208</v>
      </c>
      <c r="F336" s="3"/>
      <c r="G336" s="3" t="s">
        <v>1860</v>
      </c>
      <c r="H336" s="3" t="s">
        <v>1861</v>
      </c>
      <c r="I336" s="3" t="s">
        <v>2209</v>
      </c>
      <c r="J336" s="3" t="s">
        <v>2210</v>
      </c>
      <c r="K336" s="3" t="s">
        <v>305</v>
      </c>
      <c r="L336" s="3" t="s">
        <v>1000</v>
      </c>
    </row>
    <row r="337" spans="1:12">
      <c r="A337" s="3" t="s">
        <v>221</v>
      </c>
      <c r="B337" s="8" t="s">
        <v>51</v>
      </c>
      <c r="C337" s="7" t="s">
        <v>2211</v>
      </c>
      <c r="D337" s="3" t="s">
        <v>222</v>
      </c>
      <c r="E337" s="3" t="s">
        <v>2212</v>
      </c>
      <c r="F337" s="3" t="s">
        <v>728</v>
      </c>
      <c r="G337" s="3" t="s">
        <v>729</v>
      </c>
      <c r="H337" s="3" t="s">
        <v>2213</v>
      </c>
      <c r="I337" s="3" t="s">
        <v>2214</v>
      </c>
      <c r="J337" s="3" t="s">
        <v>682</v>
      </c>
      <c r="K337" s="3" t="s">
        <v>305</v>
      </c>
      <c r="L337" s="3" t="s">
        <v>221</v>
      </c>
    </row>
    <row r="338" spans="1:12">
      <c r="A338" s="3" t="s">
        <v>2215</v>
      </c>
      <c r="B338" s="8" t="s">
        <v>51</v>
      </c>
      <c r="C338" s="7" t="s">
        <v>2216</v>
      </c>
      <c r="D338" s="3" t="s">
        <v>2217</v>
      </c>
      <c r="E338" s="3" t="s">
        <v>2218</v>
      </c>
      <c r="F338" s="3" t="s">
        <v>2219</v>
      </c>
      <c r="G338" s="3" t="s">
        <v>2220</v>
      </c>
      <c r="H338" s="3" t="s">
        <v>2221</v>
      </c>
      <c r="I338" s="3" t="s">
        <v>2222</v>
      </c>
      <c r="J338" s="3" t="s">
        <v>2222</v>
      </c>
      <c r="K338" s="3" t="s">
        <v>305</v>
      </c>
      <c r="L338" s="3" t="s">
        <v>2215</v>
      </c>
    </row>
    <row r="339" spans="1:12">
      <c r="A339" s="3" t="s">
        <v>2215</v>
      </c>
      <c r="B339" s="8" t="s">
        <v>51</v>
      </c>
      <c r="C339" s="7" t="s">
        <v>2223</v>
      </c>
      <c r="D339" s="3" t="s">
        <v>2217</v>
      </c>
      <c r="E339" s="3" t="s">
        <v>2224</v>
      </c>
      <c r="F339" s="3" t="s">
        <v>2225</v>
      </c>
      <c r="G339" s="3" t="s">
        <v>2226</v>
      </c>
      <c r="H339" s="3" t="s">
        <v>2227</v>
      </c>
      <c r="I339" s="3" t="s">
        <v>2228</v>
      </c>
      <c r="J339" s="3" t="s">
        <v>2228</v>
      </c>
      <c r="K339" s="3" t="s">
        <v>305</v>
      </c>
      <c r="L339" s="3" t="s">
        <v>2215</v>
      </c>
    </row>
    <row r="340" spans="1:12">
      <c r="A340" s="3" t="s">
        <v>976</v>
      </c>
      <c r="B340" s="8" t="s">
        <v>51</v>
      </c>
      <c r="C340" s="7" t="s">
        <v>2229</v>
      </c>
      <c r="D340" s="3" t="s">
        <v>978</v>
      </c>
      <c r="E340" s="3" t="s">
        <v>2230</v>
      </c>
      <c r="F340" s="3"/>
      <c r="G340" s="3" t="s">
        <v>2231</v>
      </c>
      <c r="H340" s="3" t="s">
        <v>2232</v>
      </c>
      <c r="I340" s="3" t="s">
        <v>2233</v>
      </c>
      <c r="J340" s="3" t="s">
        <v>2234</v>
      </c>
      <c r="K340" s="3" t="s">
        <v>305</v>
      </c>
      <c r="L340" s="3" t="s">
        <v>976</v>
      </c>
    </row>
    <row r="341" spans="1:12">
      <c r="A341" s="3" t="s">
        <v>323</v>
      </c>
      <c r="B341" s="8" t="s">
        <v>51</v>
      </c>
      <c r="C341" s="7" t="s">
        <v>2235</v>
      </c>
      <c r="D341" s="3" t="s">
        <v>2088</v>
      </c>
      <c r="E341" s="3" t="s">
        <v>2236</v>
      </c>
      <c r="F341" s="3" t="s">
        <v>2112</v>
      </c>
      <c r="G341" s="3" t="s">
        <v>2237</v>
      </c>
      <c r="H341" s="3" t="s">
        <v>2238</v>
      </c>
      <c r="I341" s="3" t="s">
        <v>2239</v>
      </c>
      <c r="J341" s="3" t="s">
        <v>2239</v>
      </c>
      <c r="K341" s="3" t="s">
        <v>305</v>
      </c>
      <c r="L341" s="3" t="s">
        <v>323</v>
      </c>
    </row>
    <row r="342" spans="1:12">
      <c r="A342" s="3" t="s">
        <v>2215</v>
      </c>
      <c r="B342" s="8" t="s">
        <v>51</v>
      </c>
      <c r="C342" s="7" t="s">
        <v>2240</v>
      </c>
      <c r="D342" s="3" t="s">
        <v>2217</v>
      </c>
      <c r="E342" s="3" t="s">
        <v>2241</v>
      </c>
      <c r="F342" s="3" t="s">
        <v>2225</v>
      </c>
      <c r="G342" s="3" t="s">
        <v>2242</v>
      </c>
      <c r="H342" s="3" t="s">
        <v>2243</v>
      </c>
      <c r="I342" s="3" t="s">
        <v>2244</v>
      </c>
      <c r="J342" s="3" t="s">
        <v>2244</v>
      </c>
      <c r="K342" s="3" t="s">
        <v>305</v>
      </c>
      <c r="L342" s="3" t="s">
        <v>2215</v>
      </c>
    </row>
    <row r="343" spans="1:12">
      <c r="A343" s="3" t="s">
        <v>221</v>
      </c>
      <c r="B343" s="8" t="s">
        <v>51</v>
      </c>
      <c r="C343" s="7" t="s">
        <v>2245</v>
      </c>
      <c r="D343" s="3" t="s">
        <v>222</v>
      </c>
      <c r="E343" s="3" t="s">
        <v>2246</v>
      </c>
      <c r="F343" s="3" t="s">
        <v>536</v>
      </c>
      <c r="G343" s="3" t="s">
        <v>1118</v>
      </c>
      <c r="H343" s="3" t="s">
        <v>2247</v>
      </c>
      <c r="I343" s="3" t="s">
        <v>2248</v>
      </c>
      <c r="J343" s="3" t="s">
        <v>2248</v>
      </c>
      <c r="K343" s="3" t="s">
        <v>305</v>
      </c>
      <c r="L343" s="3" t="s">
        <v>221</v>
      </c>
    </row>
    <row r="344" spans="1:12">
      <c r="A344" s="3" t="s">
        <v>866</v>
      </c>
      <c r="B344" s="8" t="s">
        <v>51</v>
      </c>
      <c r="C344" s="7" t="s">
        <v>2249</v>
      </c>
      <c r="D344" s="3" t="s">
        <v>868</v>
      </c>
      <c r="E344" s="3" t="s">
        <v>2250</v>
      </c>
      <c r="F344" s="3"/>
      <c r="G344" s="3" t="s">
        <v>2251</v>
      </c>
      <c r="H344" s="3" t="s">
        <v>2252</v>
      </c>
      <c r="I344" s="3" t="s">
        <v>2253</v>
      </c>
      <c r="J344" s="3" t="s">
        <v>2254</v>
      </c>
      <c r="K344" s="3" t="s">
        <v>1563</v>
      </c>
      <c r="L344" s="3" t="s">
        <v>866</v>
      </c>
    </row>
    <row r="345" spans="1:12">
      <c r="A345" s="3" t="s">
        <v>866</v>
      </c>
      <c r="B345" s="8" t="s">
        <v>51</v>
      </c>
      <c r="C345" s="7" t="s">
        <v>2255</v>
      </c>
      <c r="D345" s="3" t="s">
        <v>868</v>
      </c>
      <c r="E345" s="3" t="s">
        <v>2256</v>
      </c>
      <c r="F345" s="3"/>
      <c r="G345" s="3" t="s">
        <v>2257</v>
      </c>
      <c r="H345" s="3" t="s">
        <v>2258</v>
      </c>
      <c r="I345" s="3" t="s">
        <v>2259</v>
      </c>
      <c r="J345" s="3" t="s">
        <v>2260</v>
      </c>
      <c r="K345" s="3" t="s">
        <v>2261</v>
      </c>
      <c r="L345" s="3" t="s">
        <v>866</v>
      </c>
    </row>
    <row r="346" spans="1:12">
      <c r="A346" s="3" t="s">
        <v>2215</v>
      </c>
      <c r="B346" s="8" t="s">
        <v>51</v>
      </c>
      <c r="C346" s="7" t="s">
        <v>2262</v>
      </c>
      <c r="D346" s="3" t="s">
        <v>2217</v>
      </c>
      <c r="E346" s="3" t="s">
        <v>2263</v>
      </c>
      <c r="F346" s="3" t="s">
        <v>2264</v>
      </c>
      <c r="G346" s="3" t="s">
        <v>2265</v>
      </c>
      <c r="H346" s="3" t="s">
        <v>2266</v>
      </c>
      <c r="I346" s="3" t="s">
        <v>2267</v>
      </c>
      <c r="J346" s="3" t="s">
        <v>2267</v>
      </c>
      <c r="K346" s="3" t="s">
        <v>305</v>
      </c>
      <c r="L346" s="3" t="s">
        <v>2215</v>
      </c>
    </row>
    <row r="347" spans="1:12">
      <c r="A347" s="3" t="s">
        <v>221</v>
      </c>
      <c r="B347" s="8" t="s">
        <v>51</v>
      </c>
      <c r="C347" s="7" t="s">
        <v>2268</v>
      </c>
      <c r="D347" s="3" t="s">
        <v>222</v>
      </c>
      <c r="E347" s="3" t="s">
        <v>2269</v>
      </c>
      <c r="F347" s="3" t="s">
        <v>667</v>
      </c>
      <c r="G347" s="3" t="s">
        <v>2270</v>
      </c>
      <c r="H347" s="3" t="s">
        <v>2271</v>
      </c>
      <c r="I347" s="3" t="s">
        <v>2272</v>
      </c>
      <c r="J347" s="3" t="s">
        <v>2273</v>
      </c>
      <c r="K347" s="3" t="s">
        <v>305</v>
      </c>
      <c r="L347" s="3" t="s">
        <v>221</v>
      </c>
    </row>
    <row r="348" spans="1:12">
      <c r="A348" s="3" t="s">
        <v>221</v>
      </c>
      <c r="B348" s="8" t="s">
        <v>51</v>
      </c>
      <c r="C348" s="7" t="s">
        <v>2274</v>
      </c>
      <c r="D348" s="3" t="s">
        <v>222</v>
      </c>
      <c r="E348" s="3" t="s">
        <v>2275</v>
      </c>
      <c r="F348" s="3" t="s">
        <v>323</v>
      </c>
      <c r="G348" s="3" t="s">
        <v>1483</v>
      </c>
      <c r="H348" s="3" t="s">
        <v>2276</v>
      </c>
      <c r="I348" s="3" t="s">
        <v>2277</v>
      </c>
      <c r="J348" s="3" t="s">
        <v>2277</v>
      </c>
      <c r="K348" s="3" t="s">
        <v>305</v>
      </c>
      <c r="L348" s="3" t="s">
        <v>221</v>
      </c>
    </row>
    <row r="349" spans="1:12">
      <c r="A349" s="3" t="s">
        <v>2215</v>
      </c>
      <c r="B349" s="8" t="s">
        <v>51</v>
      </c>
      <c r="C349" s="7" t="s">
        <v>2278</v>
      </c>
      <c r="D349" s="3" t="s">
        <v>2217</v>
      </c>
      <c r="E349" s="3" t="s">
        <v>2279</v>
      </c>
      <c r="F349" s="3" t="s">
        <v>2264</v>
      </c>
      <c r="G349" s="3" t="s">
        <v>2280</v>
      </c>
      <c r="H349" s="3" t="s">
        <v>2281</v>
      </c>
      <c r="I349" s="3" t="s">
        <v>2282</v>
      </c>
      <c r="J349" s="3" t="s">
        <v>2282</v>
      </c>
      <c r="K349" s="3" t="s">
        <v>305</v>
      </c>
      <c r="L349" s="3" t="s">
        <v>2215</v>
      </c>
    </row>
    <row r="350" spans="1:12">
      <c r="A350" s="3" t="s">
        <v>221</v>
      </c>
      <c r="B350" s="8" t="s">
        <v>51</v>
      </c>
      <c r="C350" s="7" t="s">
        <v>2283</v>
      </c>
      <c r="D350" s="3" t="s">
        <v>222</v>
      </c>
      <c r="E350" s="3" t="s">
        <v>2284</v>
      </c>
      <c r="F350" s="3" t="s">
        <v>323</v>
      </c>
      <c r="G350" s="3" t="s">
        <v>2285</v>
      </c>
      <c r="H350" s="3" t="s">
        <v>2286</v>
      </c>
      <c r="I350" s="3" t="s">
        <v>2287</v>
      </c>
      <c r="J350" s="3" t="s">
        <v>2287</v>
      </c>
      <c r="K350" s="3" t="s">
        <v>305</v>
      </c>
      <c r="L350" s="3" t="s">
        <v>221</v>
      </c>
    </row>
    <row r="351" spans="1:12">
      <c r="A351" s="3" t="s">
        <v>221</v>
      </c>
      <c r="B351" s="8" t="s">
        <v>51</v>
      </c>
      <c r="C351" s="7" t="s">
        <v>2288</v>
      </c>
      <c r="D351" s="3" t="s">
        <v>222</v>
      </c>
      <c r="E351" s="3" t="s">
        <v>2289</v>
      </c>
      <c r="F351" s="3" t="s">
        <v>557</v>
      </c>
      <c r="G351" s="3" t="s">
        <v>2290</v>
      </c>
      <c r="H351" s="3" t="s">
        <v>2291</v>
      </c>
      <c r="I351" s="3" t="s">
        <v>2292</v>
      </c>
      <c r="J351" s="3" t="s">
        <v>2292</v>
      </c>
      <c r="K351" s="3" t="s">
        <v>305</v>
      </c>
      <c r="L351" s="3" t="s">
        <v>221</v>
      </c>
    </row>
    <row r="352" spans="1:12">
      <c r="A352" s="3" t="s">
        <v>221</v>
      </c>
      <c r="B352" s="8" t="s">
        <v>51</v>
      </c>
      <c r="C352" s="7" t="s">
        <v>2293</v>
      </c>
      <c r="D352" s="3" t="s">
        <v>222</v>
      </c>
      <c r="E352" s="3" t="s">
        <v>2294</v>
      </c>
      <c r="F352" s="3" t="s">
        <v>550</v>
      </c>
      <c r="G352" s="3" t="s">
        <v>2295</v>
      </c>
      <c r="H352" s="3" t="s">
        <v>2296</v>
      </c>
      <c r="I352" s="3" t="s">
        <v>2297</v>
      </c>
      <c r="J352" s="3" t="s">
        <v>2297</v>
      </c>
      <c r="K352" s="3" t="s">
        <v>305</v>
      </c>
      <c r="L352" s="3" t="s">
        <v>221</v>
      </c>
    </row>
    <row r="353" spans="1:12">
      <c r="A353" s="3" t="s">
        <v>820</v>
      </c>
      <c r="B353" s="8" t="s">
        <v>51</v>
      </c>
      <c r="C353" s="7" t="s">
        <v>2298</v>
      </c>
      <c r="D353" s="3" t="s">
        <v>822</v>
      </c>
      <c r="E353" s="3" t="s">
        <v>2299</v>
      </c>
      <c r="F353" s="3"/>
      <c r="G353" s="3" t="s">
        <v>2300</v>
      </c>
      <c r="H353" s="3" t="s">
        <v>2301</v>
      </c>
      <c r="I353" s="3" t="s">
        <v>2302</v>
      </c>
      <c r="J353" s="3"/>
      <c r="K353" s="3" t="s">
        <v>2303</v>
      </c>
      <c r="L353" s="3" t="s">
        <v>820</v>
      </c>
    </row>
    <row r="354" spans="1:12">
      <c r="A354" s="3" t="s">
        <v>221</v>
      </c>
      <c r="B354" s="8" t="s">
        <v>51</v>
      </c>
      <c r="C354" s="7" t="s">
        <v>2304</v>
      </c>
      <c r="D354" s="3" t="s">
        <v>222</v>
      </c>
      <c r="E354" s="3" t="s">
        <v>2305</v>
      </c>
      <c r="F354" s="3" t="s">
        <v>632</v>
      </c>
      <c r="G354" s="3" t="s">
        <v>2306</v>
      </c>
      <c r="H354" s="3" t="s">
        <v>2307</v>
      </c>
      <c r="I354" s="3" t="s">
        <v>2308</v>
      </c>
      <c r="J354" s="3" t="s">
        <v>2308</v>
      </c>
      <c r="K354" s="3" t="s">
        <v>305</v>
      </c>
      <c r="L354" s="3" t="s">
        <v>221</v>
      </c>
    </row>
    <row r="355" spans="1:12">
      <c r="A355" s="3" t="s">
        <v>2215</v>
      </c>
      <c r="B355" s="8" t="s">
        <v>51</v>
      </c>
      <c r="C355" s="7" t="s">
        <v>2309</v>
      </c>
      <c r="D355" s="3" t="s">
        <v>2217</v>
      </c>
      <c r="E355" s="3" t="s">
        <v>2310</v>
      </c>
      <c r="F355" s="3" t="s">
        <v>685</v>
      </c>
      <c r="G355" s="3" t="s">
        <v>2311</v>
      </c>
      <c r="H355" s="3" t="s">
        <v>2312</v>
      </c>
      <c r="I355" s="3" t="s">
        <v>2313</v>
      </c>
      <c r="J355" s="3" t="s">
        <v>2313</v>
      </c>
      <c r="K355" s="3" t="s">
        <v>305</v>
      </c>
      <c r="L355" s="3" t="s">
        <v>2215</v>
      </c>
    </row>
    <row r="356" spans="1:12">
      <c r="A356" s="3" t="s">
        <v>221</v>
      </c>
      <c r="B356" s="8" t="s">
        <v>51</v>
      </c>
      <c r="C356" s="7" t="s">
        <v>2314</v>
      </c>
      <c r="D356" s="3" t="s">
        <v>222</v>
      </c>
      <c r="E356" s="3" t="s">
        <v>2315</v>
      </c>
      <c r="F356" s="3" t="s">
        <v>1071</v>
      </c>
      <c r="G356" s="3" t="s">
        <v>1896</v>
      </c>
      <c r="H356" s="3" t="s">
        <v>1072</v>
      </c>
      <c r="I356" s="3" t="s">
        <v>2316</v>
      </c>
      <c r="J356" s="3" t="s">
        <v>2316</v>
      </c>
      <c r="K356" s="3" t="s">
        <v>305</v>
      </c>
      <c r="L356" s="3" t="s">
        <v>221</v>
      </c>
    </row>
    <row r="357" spans="1:12">
      <c r="A357" s="3" t="s">
        <v>1000</v>
      </c>
      <c r="B357" s="8" t="s">
        <v>51</v>
      </c>
      <c r="C357" s="7" t="s">
        <v>2317</v>
      </c>
      <c r="D357" s="3" t="s">
        <v>1002</v>
      </c>
      <c r="E357" s="3" t="s">
        <v>2318</v>
      </c>
      <c r="F357" s="3"/>
      <c r="G357" s="3" t="s">
        <v>2319</v>
      </c>
      <c r="H357" s="3" t="s">
        <v>2320</v>
      </c>
      <c r="I357" s="3" t="s">
        <v>2321</v>
      </c>
      <c r="J357" s="3" t="s">
        <v>2322</v>
      </c>
      <c r="K357" s="3" t="s">
        <v>305</v>
      </c>
      <c r="L357" s="3" t="s">
        <v>1000</v>
      </c>
    </row>
    <row r="358" spans="1:12">
      <c r="A358" s="3" t="s">
        <v>221</v>
      </c>
      <c r="B358" s="8" t="s">
        <v>51</v>
      </c>
      <c r="C358" s="7" t="s">
        <v>2323</v>
      </c>
      <c r="D358" s="3" t="s">
        <v>222</v>
      </c>
      <c r="E358" s="3" t="s">
        <v>2324</v>
      </c>
      <c r="F358" s="3" t="s">
        <v>323</v>
      </c>
      <c r="G358" s="3" t="s">
        <v>2325</v>
      </c>
      <c r="H358" s="3" t="s">
        <v>2326</v>
      </c>
      <c r="I358" s="3" t="s">
        <v>2327</v>
      </c>
      <c r="J358" s="3"/>
      <c r="K358" s="3" t="s">
        <v>305</v>
      </c>
      <c r="L358" s="3" t="s">
        <v>221</v>
      </c>
    </row>
    <row r="359" spans="1:12">
      <c r="A359" s="3" t="s">
        <v>1000</v>
      </c>
      <c r="B359" s="8" t="s">
        <v>51</v>
      </c>
      <c r="C359" s="7" t="s">
        <v>2328</v>
      </c>
      <c r="D359" s="3" t="s">
        <v>1002</v>
      </c>
      <c r="E359" s="3" t="s">
        <v>2329</v>
      </c>
      <c r="F359" s="3"/>
      <c r="G359" s="3" t="s">
        <v>2330</v>
      </c>
      <c r="H359" s="3" t="s">
        <v>2331</v>
      </c>
      <c r="I359" s="3" t="s">
        <v>2332</v>
      </c>
      <c r="J359" s="3"/>
      <c r="K359" s="3" t="s">
        <v>1911</v>
      </c>
      <c r="L359" s="3" t="s">
        <v>1000</v>
      </c>
    </row>
    <row r="360" spans="1:12">
      <c r="A360" s="3" t="s">
        <v>323</v>
      </c>
      <c r="B360" s="8" t="s">
        <v>51</v>
      </c>
      <c r="C360" s="7" t="s">
        <v>2333</v>
      </c>
      <c r="D360" s="3" t="s">
        <v>2088</v>
      </c>
      <c r="E360" s="3" t="s">
        <v>2334</v>
      </c>
      <c r="F360" s="3" t="s">
        <v>2090</v>
      </c>
      <c r="G360" s="3" t="s">
        <v>2335</v>
      </c>
      <c r="H360" s="3" t="s">
        <v>2336</v>
      </c>
      <c r="I360" s="3" t="s">
        <v>2337</v>
      </c>
      <c r="J360" s="3" t="s">
        <v>2337</v>
      </c>
      <c r="K360" s="3" t="s">
        <v>305</v>
      </c>
      <c r="L360" s="3" t="s">
        <v>323</v>
      </c>
    </row>
    <row r="361" spans="1:12">
      <c r="A361" s="3" t="s">
        <v>2215</v>
      </c>
      <c r="B361" s="8" t="s">
        <v>51</v>
      </c>
      <c r="C361" s="7" t="s">
        <v>2338</v>
      </c>
      <c r="D361" s="3" t="s">
        <v>2217</v>
      </c>
      <c r="E361" s="3" t="s">
        <v>2339</v>
      </c>
      <c r="F361" s="3" t="s">
        <v>685</v>
      </c>
      <c r="G361" s="3" t="s">
        <v>2340</v>
      </c>
      <c r="H361" s="3" t="s">
        <v>2341</v>
      </c>
      <c r="I361" s="3" t="s">
        <v>2342</v>
      </c>
      <c r="J361" s="3" t="s">
        <v>2342</v>
      </c>
      <c r="K361" s="3" t="s">
        <v>2303</v>
      </c>
      <c r="L361" s="3" t="s">
        <v>2215</v>
      </c>
    </row>
    <row r="362" spans="1:12">
      <c r="A362" s="3" t="s">
        <v>221</v>
      </c>
      <c r="B362" s="8" t="s">
        <v>51</v>
      </c>
      <c r="C362" s="7" t="s">
        <v>2343</v>
      </c>
      <c r="D362" s="3" t="s">
        <v>222</v>
      </c>
      <c r="E362" s="3" t="s">
        <v>2344</v>
      </c>
      <c r="F362" s="3"/>
      <c r="G362" s="3" t="s">
        <v>2345</v>
      </c>
      <c r="H362" s="3" t="s">
        <v>2346</v>
      </c>
      <c r="I362" s="3" t="s">
        <v>2347</v>
      </c>
      <c r="J362" s="3" t="s">
        <v>2347</v>
      </c>
      <c r="K362" s="3" t="s">
        <v>305</v>
      </c>
      <c r="L362" s="3" t="s">
        <v>221</v>
      </c>
    </row>
    <row r="363" spans="1:12">
      <c r="A363" s="3" t="s">
        <v>384</v>
      </c>
      <c r="B363" s="8" t="s">
        <v>51</v>
      </c>
      <c r="C363" s="7" t="s">
        <v>2348</v>
      </c>
      <c r="D363" s="3" t="s">
        <v>792</v>
      </c>
      <c r="E363" s="3" t="s">
        <v>2349</v>
      </c>
      <c r="F363" s="3" t="s">
        <v>2350</v>
      </c>
      <c r="G363" s="3" t="s">
        <v>2351</v>
      </c>
      <c r="H363" s="3" t="s">
        <v>2352</v>
      </c>
      <c r="I363" s="3" t="s">
        <v>2348</v>
      </c>
      <c r="J363" s="3" t="s">
        <v>2353</v>
      </c>
      <c r="K363" s="3" t="s">
        <v>1622</v>
      </c>
      <c r="L363" s="3" t="s">
        <v>384</v>
      </c>
    </row>
    <row r="364" spans="1:12">
      <c r="A364" s="3" t="s">
        <v>221</v>
      </c>
      <c r="B364" s="8" t="s">
        <v>51</v>
      </c>
      <c r="C364" s="7" t="s">
        <v>2354</v>
      </c>
      <c r="D364" s="3" t="s">
        <v>222</v>
      </c>
      <c r="E364" s="3" t="s">
        <v>2355</v>
      </c>
      <c r="F364" s="3" t="s">
        <v>323</v>
      </c>
      <c r="G364" s="3" t="s">
        <v>2356</v>
      </c>
      <c r="H364" s="3" t="s">
        <v>2357</v>
      </c>
      <c r="I364" s="3" t="s">
        <v>2358</v>
      </c>
      <c r="J364" s="3" t="s">
        <v>682</v>
      </c>
      <c r="K364" s="3" t="s">
        <v>305</v>
      </c>
      <c r="L364" s="3" t="s">
        <v>221</v>
      </c>
    </row>
    <row r="365" spans="1:12">
      <c r="A365" s="3" t="s">
        <v>323</v>
      </c>
      <c r="B365" s="8" t="s">
        <v>51</v>
      </c>
      <c r="C365" s="7" t="s">
        <v>2359</v>
      </c>
      <c r="D365" s="3" t="s">
        <v>2088</v>
      </c>
      <c r="E365" s="3" t="s">
        <v>2360</v>
      </c>
      <c r="F365" s="3" t="s">
        <v>2112</v>
      </c>
      <c r="G365" s="3" t="s">
        <v>2113</v>
      </c>
      <c r="H365" s="3" t="s">
        <v>2361</v>
      </c>
      <c r="I365" s="3" t="s">
        <v>2362</v>
      </c>
      <c r="J365" s="3" t="s">
        <v>2362</v>
      </c>
      <c r="K365" s="3" t="s">
        <v>305</v>
      </c>
      <c r="L365" s="3" t="s">
        <v>323</v>
      </c>
    </row>
    <row r="366" spans="1:12">
      <c r="A366" s="3" t="s">
        <v>221</v>
      </c>
      <c r="B366" s="8" t="s">
        <v>51</v>
      </c>
      <c r="C366" s="7" t="s">
        <v>2363</v>
      </c>
      <c r="D366" s="3" t="s">
        <v>222</v>
      </c>
      <c r="E366" s="3" t="s">
        <v>2364</v>
      </c>
      <c r="F366" s="3" t="s">
        <v>632</v>
      </c>
      <c r="G366" s="3" t="s">
        <v>1141</v>
      </c>
      <c r="H366" s="3" t="s">
        <v>2365</v>
      </c>
      <c r="I366" s="3" t="s">
        <v>2366</v>
      </c>
      <c r="J366" s="3" t="s">
        <v>2366</v>
      </c>
      <c r="K366" s="3" t="s">
        <v>305</v>
      </c>
      <c r="L366" s="3" t="s">
        <v>221</v>
      </c>
    </row>
    <row r="367" spans="1:12">
      <c r="A367" s="3" t="s">
        <v>323</v>
      </c>
      <c r="B367" s="8" t="s">
        <v>51</v>
      </c>
      <c r="C367" s="7" t="s">
        <v>2367</v>
      </c>
      <c r="D367" s="3" t="s">
        <v>2088</v>
      </c>
      <c r="E367" s="3" t="s">
        <v>2368</v>
      </c>
      <c r="F367" s="3" t="s">
        <v>2112</v>
      </c>
      <c r="G367" s="3" t="s">
        <v>2113</v>
      </c>
      <c r="H367" s="3" t="s">
        <v>2369</v>
      </c>
      <c r="I367" s="3" t="s">
        <v>2370</v>
      </c>
      <c r="J367" s="3" t="s">
        <v>2370</v>
      </c>
      <c r="K367" s="3" t="s">
        <v>305</v>
      </c>
      <c r="L367" s="3" t="s">
        <v>323</v>
      </c>
    </row>
    <row r="368" spans="1:12">
      <c r="A368" s="3" t="s">
        <v>384</v>
      </c>
      <c r="B368" s="8" t="s">
        <v>51</v>
      </c>
      <c r="C368" s="7" t="s">
        <v>2371</v>
      </c>
      <c r="D368" s="3" t="s">
        <v>792</v>
      </c>
      <c r="E368" s="3" t="s">
        <v>2372</v>
      </c>
      <c r="F368" s="3" t="s">
        <v>2373</v>
      </c>
      <c r="G368" s="3" t="s">
        <v>2374</v>
      </c>
      <c r="H368" s="3" t="s">
        <v>2375</v>
      </c>
      <c r="I368" s="3" t="s">
        <v>2376</v>
      </c>
      <c r="J368" s="3"/>
      <c r="K368" s="3" t="s">
        <v>1563</v>
      </c>
      <c r="L368" s="3" t="s">
        <v>384</v>
      </c>
    </row>
    <row r="369" spans="1:12">
      <c r="A369" s="3" t="s">
        <v>384</v>
      </c>
      <c r="B369" s="8" t="s">
        <v>51</v>
      </c>
      <c r="C369" s="7" t="s">
        <v>2377</v>
      </c>
      <c r="D369" s="3" t="s">
        <v>792</v>
      </c>
      <c r="E369" s="3" t="s">
        <v>2378</v>
      </c>
      <c r="F369" s="3" t="s">
        <v>839</v>
      </c>
      <c r="G369" s="3" t="s">
        <v>839</v>
      </c>
      <c r="H369" s="3" t="s">
        <v>1996</v>
      </c>
      <c r="I369" s="3" t="s">
        <v>2379</v>
      </c>
      <c r="J369" s="3" t="s">
        <v>2380</v>
      </c>
      <c r="K369" s="3" t="s">
        <v>1911</v>
      </c>
      <c r="L369" s="3" t="s">
        <v>384</v>
      </c>
    </row>
    <row r="370" spans="1:12">
      <c r="A370" s="3" t="s">
        <v>221</v>
      </c>
      <c r="B370" s="8" t="s">
        <v>51</v>
      </c>
      <c r="C370" s="7" t="s">
        <v>2381</v>
      </c>
      <c r="D370" s="3" t="s">
        <v>222</v>
      </c>
      <c r="E370" s="3" t="s">
        <v>2382</v>
      </c>
      <c r="F370" s="3" t="s">
        <v>323</v>
      </c>
      <c r="G370" s="3" t="s">
        <v>2383</v>
      </c>
      <c r="H370" s="3" t="s">
        <v>2384</v>
      </c>
      <c r="I370" s="3" t="s">
        <v>2385</v>
      </c>
      <c r="J370" s="3" t="s">
        <v>2385</v>
      </c>
      <c r="K370" s="3" t="s">
        <v>305</v>
      </c>
      <c r="L370" s="3" t="s">
        <v>221</v>
      </c>
    </row>
    <row r="371" spans="1:12">
      <c r="A371" s="3" t="s">
        <v>221</v>
      </c>
      <c r="B371" s="8" t="s">
        <v>51</v>
      </c>
      <c r="C371" s="7" t="s">
        <v>2386</v>
      </c>
      <c r="D371" s="3" t="s">
        <v>222</v>
      </c>
      <c r="E371" s="3" t="s">
        <v>2387</v>
      </c>
      <c r="F371" s="3" t="s">
        <v>1829</v>
      </c>
      <c r="G371" s="3" t="s">
        <v>2388</v>
      </c>
      <c r="H371" s="3" t="s">
        <v>2389</v>
      </c>
      <c r="I371" s="3" t="s">
        <v>2390</v>
      </c>
      <c r="J371" s="3" t="s">
        <v>2390</v>
      </c>
      <c r="K371" s="3" t="s">
        <v>2303</v>
      </c>
      <c r="L371" s="3" t="s">
        <v>221</v>
      </c>
    </row>
    <row r="372" spans="1:12">
      <c r="A372" s="3" t="s">
        <v>221</v>
      </c>
      <c r="B372" s="8" t="s">
        <v>51</v>
      </c>
      <c r="C372" s="7" t="s">
        <v>2391</v>
      </c>
      <c r="D372" s="3" t="s">
        <v>222</v>
      </c>
      <c r="E372" s="3" t="s">
        <v>2392</v>
      </c>
      <c r="F372" s="3" t="s">
        <v>728</v>
      </c>
      <c r="G372" s="3" t="s">
        <v>2393</v>
      </c>
      <c r="H372" s="3" t="s">
        <v>2394</v>
      </c>
      <c r="I372" s="3" t="s">
        <v>2395</v>
      </c>
      <c r="J372" s="3" t="s">
        <v>2395</v>
      </c>
      <c r="K372" s="3" t="s">
        <v>305</v>
      </c>
      <c r="L372" s="3" t="s">
        <v>221</v>
      </c>
    </row>
    <row r="373" spans="1:12">
      <c r="A373" s="3" t="s">
        <v>221</v>
      </c>
      <c r="B373" s="8" t="s">
        <v>51</v>
      </c>
      <c r="C373" s="7" t="s">
        <v>2396</v>
      </c>
      <c r="D373" s="3" t="s">
        <v>222</v>
      </c>
      <c r="E373" s="3" t="s">
        <v>2397</v>
      </c>
      <c r="F373" s="3" t="s">
        <v>766</v>
      </c>
      <c r="G373" s="3" t="s">
        <v>2398</v>
      </c>
      <c r="H373" s="3" t="s">
        <v>2399</v>
      </c>
      <c r="I373" s="3" t="s">
        <v>2400</v>
      </c>
      <c r="J373" s="3" t="s">
        <v>682</v>
      </c>
      <c r="K373" s="3" t="s">
        <v>305</v>
      </c>
      <c r="L373" s="3" t="s">
        <v>221</v>
      </c>
    </row>
    <row r="374" spans="1:12">
      <c r="A374" s="3" t="s">
        <v>323</v>
      </c>
      <c r="B374" s="8" t="s">
        <v>51</v>
      </c>
      <c r="C374" s="7" t="s">
        <v>2401</v>
      </c>
      <c r="D374" s="3" t="s">
        <v>2088</v>
      </c>
      <c r="E374" s="3" t="s">
        <v>2402</v>
      </c>
      <c r="F374" s="3" t="s">
        <v>2090</v>
      </c>
      <c r="G374" s="3" t="s">
        <v>2403</v>
      </c>
      <c r="H374" s="3" t="s">
        <v>2404</v>
      </c>
      <c r="I374" s="3" t="s">
        <v>2401</v>
      </c>
      <c r="J374" s="3" t="s">
        <v>2405</v>
      </c>
      <c r="K374" s="3" t="s">
        <v>305</v>
      </c>
      <c r="L374" s="3" t="s">
        <v>323</v>
      </c>
    </row>
    <row r="375" spans="1:12">
      <c r="A375" s="3" t="s">
        <v>221</v>
      </c>
      <c r="B375" s="8" t="s">
        <v>51</v>
      </c>
      <c r="C375" s="7" t="s">
        <v>2406</v>
      </c>
      <c r="D375" s="3" t="s">
        <v>222</v>
      </c>
      <c r="E375" s="3" t="s">
        <v>2407</v>
      </c>
      <c r="F375" s="3" t="s">
        <v>766</v>
      </c>
      <c r="G375" s="3" t="s">
        <v>2408</v>
      </c>
      <c r="H375" s="3" t="s">
        <v>2409</v>
      </c>
      <c r="I375" s="3" t="s">
        <v>2410</v>
      </c>
      <c r="J375" s="3" t="s">
        <v>2410</v>
      </c>
      <c r="K375" s="3" t="s">
        <v>2303</v>
      </c>
      <c r="L375" s="3" t="s">
        <v>221</v>
      </c>
    </row>
    <row r="376" spans="1:12">
      <c r="A376" s="3" t="s">
        <v>976</v>
      </c>
      <c r="B376" s="8" t="s">
        <v>51</v>
      </c>
      <c r="C376" s="7" t="s">
        <v>2411</v>
      </c>
      <c r="D376" s="3" t="s">
        <v>978</v>
      </c>
      <c r="E376" s="3" t="s">
        <v>2412</v>
      </c>
      <c r="F376" s="3" t="s">
        <v>1372</v>
      </c>
      <c r="G376" s="3" t="s">
        <v>2413</v>
      </c>
      <c r="H376" s="3" t="s">
        <v>2414</v>
      </c>
      <c r="I376" s="3" t="s">
        <v>2410</v>
      </c>
      <c r="J376" s="3"/>
      <c r="K376" s="3" t="s">
        <v>305</v>
      </c>
      <c r="L376" s="3" t="s">
        <v>976</v>
      </c>
    </row>
    <row r="377" spans="1:12">
      <c r="A377" s="3" t="s">
        <v>221</v>
      </c>
      <c r="B377" s="8" t="s">
        <v>51</v>
      </c>
      <c r="C377" s="7" t="s">
        <v>2415</v>
      </c>
      <c r="D377" s="3" t="s">
        <v>222</v>
      </c>
      <c r="E377" s="3" t="s">
        <v>2416</v>
      </c>
      <c r="F377" s="3" t="s">
        <v>715</v>
      </c>
      <c r="G377" s="3" t="s">
        <v>2417</v>
      </c>
      <c r="H377" s="3" t="s">
        <v>2418</v>
      </c>
      <c r="I377" s="3" t="s">
        <v>2419</v>
      </c>
      <c r="J377" s="3" t="s">
        <v>2410</v>
      </c>
      <c r="K377" s="3" t="s">
        <v>305</v>
      </c>
      <c r="L377" s="3" t="s">
        <v>221</v>
      </c>
    </row>
    <row r="378" spans="1:12">
      <c r="A378" s="3" t="s">
        <v>221</v>
      </c>
      <c r="B378" s="8" t="s">
        <v>51</v>
      </c>
      <c r="C378" s="7" t="s">
        <v>2420</v>
      </c>
      <c r="D378" s="3" t="s">
        <v>222</v>
      </c>
      <c r="E378" s="3" t="s">
        <v>2421</v>
      </c>
      <c r="F378" s="3" t="s">
        <v>543</v>
      </c>
      <c r="G378" s="3" t="s">
        <v>2422</v>
      </c>
      <c r="H378" s="3" t="s">
        <v>2423</v>
      </c>
      <c r="I378" s="3" t="s">
        <v>2410</v>
      </c>
      <c r="J378" s="3" t="s">
        <v>2410</v>
      </c>
      <c r="K378" s="3" t="s">
        <v>305</v>
      </c>
      <c r="L378" s="3" t="s">
        <v>221</v>
      </c>
    </row>
    <row r="379" spans="1:12">
      <c r="A379" s="3" t="s">
        <v>323</v>
      </c>
      <c r="B379" s="8" t="s">
        <v>51</v>
      </c>
      <c r="C379" s="7" t="s">
        <v>2424</v>
      </c>
      <c r="D379" s="3" t="s">
        <v>2088</v>
      </c>
      <c r="E379" s="3" t="s">
        <v>2425</v>
      </c>
      <c r="F379" s="3" t="s">
        <v>2112</v>
      </c>
      <c r="G379" s="3" t="s">
        <v>2426</v>
      </c>
      <c r="H379" s="3" t="s">
        <v>2427</v>
      </c>
      <c r="I379" s="3" t="s">
        <v>2410</v>
      </c>
      <c r="J379" s="3" t="s">
        <v>2410</v>
      </c>
      <c r="K379" s="3" t="s">
        <v>305</v>
      </c>
      <c r="L379" s="3" t="s">
        <v>323</v>
      </c>
    </row>
    <row r="380" spans="1:12">
      <c r="A380" s="3" t="s">
        <v>384</v>
      </c>
      <c r="B380" s="8" t="s">
        <v>51</v>
      </c>
      <c r="C380" s="7" t="s">
        <v>2428</v>
      </c>
      <c r="D380" s="3" t="s">
        <v>792</v>
      </c>
      <c r="E380" s="3" t="s">
        <v>844</v>
      </c>
      <c r="F380" s="3" t="s">
        <v>839</v>
      </c>
      <c r="G380" s="3" t="s">
        <v>838</v>
      </c>
      <c r="H380" s="3" t="s">
        <v>840</v>
      </c>
      <c r="I380" s="3" t="s">
        <v>2410</v>
      </c>
      <c r="J380" s="3"/>
      <c r="K380" s="3" t="s">
        <v>305</v>
      </c>
      <c r="L380" s="3" t="s">
        <v>384</v>
      </c>
    </row>
    <row r="381" spans="1:12">
      <c r="A381" s="3" t="s">
        <v>221</v>
      </c>
      <c r="B381" s="8" t="s">
        <v>51</v>
      </c>
      <c r="C381" s="7" t="s">
        <v>2429</v>
      </c>
      <c r="D381" s="3" t="s">
        <v>222</v>
      </c>
      <c r="E381" s="3" t="s">
        <v>2430</v>
      </c>
      <c r="F381" s="3" t="s">
        <v>667</v>
      </c>
      <c r="G381" s="3" t="s">
        <v>2431</v>
      </c>
      <c r="H381" s="3" t="s">
        <v>2432</v>
      </c>
      <c r="I381" s="3" t="s">
        <v>2433</v>
      </c>
      <c r="J381" s="3" t="s">
        <v>2410</v>
      </c>
      <c r="K381" s="3" t="s">
        <v>305</v>
      </c>
      <c r="L381" s="3" t="s">
        <v>221</v>
      </c>
    </row>
    <row r="382" spans="1:12">
      <c r="A382" s="3" t="s">
        <v>384</v>
      </c>
      <c r="B382" s="8" t="s">
        <v>51</v>
      </c>
      <c r="C382" s="7" t="s">
        <v>2434</v>
      </c>
      <c r="D382" s="3" t="s">
        <v>792</v>
      </c>
      <c r="E382" s="3" t="s">
        <v>2435</v>
      </c>
      <c r="F382" s="3"/>
      <c r="G382" s="3" t="s">
        <v>2436</v>
      </c>
      <c r="H382" s="3" t="s">
        <v>2437</v>
      </c>
      <c r="I382" s="3" t="s">
        <v>2434</v>
      </c>
      <c r="J382" s="3" t="s">
        <v>2438</v>
      </c>
      <c r="K382" s="3" t="s">
        <v>1911</v>
      </c>
      <c r="L382" s="3" t="s">
        <v>384</v>
      </c>
    </row>
    <row r="383" spans="1:12">
      <c r="A383" s="3" t="s">
        <v>866</v>
      </c>
      <c r="B383" s="8" t="s">
        <v>51</v>
      </c>
      <c r="C383" s="7" t="s">
        <v>2439</v>
      </c>
      <c r="D383" s="3" t="s">
        <v>868</v>
      </c>
      <c r="E383" s="3" t="s">
        <v>2440</v>
      </c>
      <c r="F383" s="3"/>
      <c r="G383" s="3" t="s">
        <v>2441</v>
      </c>
      <c r="H383" s="3" t="s">
        <v>2442</v>
      </c>
      <c r="I383" s="3" t="s">
        <v>2443</v>
      </c>
      <c r="J383" s="3" t="s">
        <v>2444</v>
      </c>
      <c r="K383" s="3" t="s">
        <v>874</v>
      </c>
      <c r="L383" s="3" t="s">
        <v>866</v>
      </c>
    </row>
    <row r="384" spans="1:12">
      <c r="A384" s="3" t="s">
        <v>866</v>
      </c>
      <c r="B384" s="8" t="s">
        <v>51</v>
      </c>
      <c r="C384" s="7" t="s">
        <v>2445</v>
      </c>
      <c r="D384" s="3" t="s">
        <v>868</v>
      </c>
      <c r="E384" s="3" t="s">
        <v>2446</v>
      </c>
      <c r="F384" s="3"/>
      <c r="G384" s="3" t="s">
        <v>2447</v>
      </c>
      <c r="H384" s="3" t="s">
        <v>2448</v>
      </c>
      <c r="I384" s="3" t="s">
        <v>2449</v>
      </c>
      <c r="J384" s="3" t="s">
        <v>2450</v>
      </c>
      <c r="K384" s="3" t="s">
        <v>874</v>
      </c>
      <c r="L384" s="3" t="s">
        <v>866</v>
      </c>
    </row>
    <row r="385" spans="1:12">
      <c r="A385" s="3" t="s">
        <v>221</v>
      </c>
      <c r="B385" s="8" t="s">
        <v>51</v>
      </c>
      <c r="C385" s="7" t="s">
        <v>2451</v>
      </c>
      <c r="D385" s="3" t="s">
        <v>222</v>
      </c>
      <c r="E385" s="3" t="s">
        <v>2452</v>
      </c>
      <c r="F385" s="3"/>
      <c r="G385" s="3" t="s">
        <v>2453</v>
      </c>
      <c r="H385" s="3" t="s">
        <v>2454</v>
      </c>
      <c r="I385" s="3" t="s">
        <v>2455</v>
      </c>
      <c r="J385" s="3" t="s">
        <v>682</v>
      </c>
      <c r="K385" s="3" t="s">
        <v>305</v>
      </c>
      <c r="L385" s="3" t="s">
        <v>221</v>
      </c>
    </row>
    <row r="386" spans="1:12">
      <c r="A386" s="3" t="s">
        <v>384</v>
      </c>
      <c r="B386" s="8" t="s">
        <v>51</v>
      </c>
      <c r="C386" s="7" t="s">
        <v>2456</v>
      </c>
      <c r="D386" s="3" t="s">
        <v>792</v>
      </c>
      <c r="E386" s="3" t="s">
        <v>2457</v>
      </c>
      <c r="F386" s="3" t="s">
        <v>839</v>
      </c>
      <c r="G386" s="3" t="s">
        <v>838</v>
      </c>
      <c r="H386" s="3" t="s">
        <v>840</v>
      </c>
      <c r="I386" s="3" t="s">
        <v>2410</v>
      </c>
      <c r="J386" s="3"/>
      <c r="K386" s="3" t="s">
        <v>1911</v>
      </c>
      <c r="L386" s="3" t="s">
        <v>384</v>
      </c>
    </row>
    <row r="387" spans="1:12">
      <c r="A387" s="3" t="s">
        <v>1000</v>
      </c>
      <c r="B387" s="8" t="s">
        <v>51</v>
      </c>
      <c r="C387" s="7" t="s">
        <v>2458</v>
      </c>
      <c r="D387" s="3" t="s">
        <v>1002</v>
      </c>
      <c r="E387" s="3" t="s">
        <v>2459</v>
      </c>
      <c r="F387" s="3"/>
      <c r="G387" s="3" t="s">
        <v>2330</v>
      </c>
      <c r="H387" s="3" t="s">
        <v>2331</v>
      </c>
      <c r="I387" s="3" t="s">
        <v>2410</v>
      </c>
      <c r="J387" s="3" t="s">
        <v>2410</v>
      </c>
      <c r="K387" s="3" t="s">
        <v>1845</v>
      </c>
      <c r="L387" s="3" t="s">
        <v>1000</v>
      </c>
    </row>
    <row r="388" spans="1:12">
      <c r="A388" s="3" t="s">
        <v>820</v>
      </c>
      <c r="B388" s="8" t="s">
        <v>51</v>
      </c>
      <c r="C388" s="7" t="s">
        <v>2460</v>
      </c>
      <c r="D388" s="3" t="s">
        <v>822</v>
      </c>
      <c r="E388" s="3" t="s">
        <v>2461</v>
      </c>
      <c r="F388" s="3"/>
      <c r="G388" s="3" t="s">
        <v>2462</v>
      </c>
      <c r="H388" s="3" t="s">
        <v>2463</v>
      </c>
      <c r="I388" s="3" t="s">
        <v>2410</v>
      </c>
      <c r="J388" s="3" t="s">
        <v>2464</v>
      </c>
      <c r="K388" s="3" t="s">
        <v>1845</v>
      </c>
      <c r="L388" s="3" t="s">
        <v>820</v>
      </c>
    </row>
    <row r="389" spans="1:12">
      <c r="A389" s="3" t="s">
        <v>1000</v>
      </c>
      <c r="B389" s="8" t="s">
        <v>51</v>
      </c>
      <c r="C389" s="7" t="s">
        <v>2465</v>
      </c>
      <c r="D389" s="3" t="s">
        <v>1002</v>
      </c>
      <c r="E389" s="3" t="s">
        <v>2466</v>
      </c>
      <c r="F389" s="3"/>
      <c r="G389" s="3" t="s">
        <v>2467</v>
      </c>
      <c r="H389" s="3" t="s">
        <v>2468</v>
      </c>
      <c r="I389" s="3" t="s">
        <v>2410</v>
      </c>
      <c r="J389" s="3"/>
      <c r="K389" s="3" t="s">
        <v>305</v>
      </c>
      <c r="L389" s="3" t="s">
        <v>1000</v>
      </c>
    </row>
    <row r="390" spans="1:12">
      <c r="A390" s="3" t="s">
        <v>221</v>
      </c>
      <c r="B390" s="8" t="s">
        <v>51</v>
      </c>
      <c r="C390" s="7" t="s">
        <v>2469</v>
      </c>
      <c r="D390" s="3" t="s">
        <v>222</v>
      </c>
      <c r="E390" s="3" t="s">
        <v>2470</v>
      </c>
      <c r="F390" s="3" t="s">
        <v>1251</v>
      </c>
      <c r="G390" s="3" t="s">
        <v>2471</v>
      </c>
      <c r="H390" s="3" t="s">
        <v>2472</v>
      </c>
      <c r="I390" s="3" t="s">
        <v>2410</v>
      </c>
      <c r="J390" s="3" t="s">
        <v>2410</v>
      </c>
      <c r="K390" s="3" t="s">
        <v>305</v>
      </c>
      <c r="L390" s="3" t="s">
        <v>221</v>
      </c>
    </row>
    <row r="391" spans="1:12">
      <c r="A391" s="3" t="s">
        <v>221</v>
      </c>
      <c r="B391" s="8" t="s">
        <v>51</v>
      </c>
      <c r="C391" s="7" t="s">
        <v>2473</v>
      </c>
      <c r="D391" s="3" t="s">
        <v>222</v>
      </c>
      <c r="E391" s="3" t="s">
        <v>2474</v>
      </c>
      <c r="F391" s="3" t="s">
        <v>2475</v>
      </c>
      <c r="G391" s="3" t="s">
        <v>2476</v>
      </c>
      <c r="H391" s="3" t="s">
        <v>2477</v>
      </c>
      <c r="I391" s="3" t="s">
        <v>2410</v>
      </c>
      <c r="J391" s="3" t="s">
        <v>2410</v>
      </c>
      <c r="K391" s="3" t="s">
        <v>305</v>
      </c>
      <c r="L391" s="3" t="s">
        <v>221</v>
      </c>
    </row>
    <row r="392" spans="1:12">
      <c r="A392" s="3" t="s">
        <v>221</v>
      </c>
      <c r="B392" s="8" t="s">
        <v>51</v>
      </c>
      <c r="C392" s="7" t="s">
        <v>2478</v>
      </c>
      <c r="D392" s="3" t="s">
        <v>222</v>
      </c>
      <c r="E392" s="3" t="s">
        <v>2479</v>
      </c>
      <c r="F392" s="3" t="s">
        <v>728</v>
      </c>
      <c r="G392" s="3" t="s">
        <v>2480</v>
      </c>
      <c r="H392" s="3" t="s">
        <v>2394</v>
      </c>
      <c r="I392" s="3" t="s">
        <v>2410</v>
      </c>
      <c r="J392" s="3" t="s">
        <v>2410</v>
      </c>
      <c r="K392" s="3" t="s">
        <v>305</v>
      </c>
      <c r="L392" s="3" t="s">
        <v>221</v>
      </c>
    </row>
    <row r="393" spans="1:12">
      <c r="A393" s="3" t="s">
        <v>221</v>
      </c>
      <c r="B393" s="8" t="s">
        <v>51</v>
      </c>
      <c r="C393" s="7" t="s">
        <v>2481</v>
      </c>
      <c r="D393" s="3" t="s">
        <v>222</v>
      </c>
      <c r="E393" s="3" t="s">
        <v>2482</v>
      </c>
      <c r="F393" s="3" t="s">
        <v>300</v>
      </c>
      <c r="G393" s="3" t="s">
        <v>1463</v>
      </c>
      <c r="H393" s="3" t="s">
        <v>2483</v>
      </c>
      <c r="I393" s="3" t="s">
        <v>2410</v>
      </c>
      <c r="J393" s="3" t="s">
        <v>2410</v>
      </c>
      <c r="K393" s="3" t="s">
        <v>305</v>
      </c>
      <c r="L393" s="3" t="s">
        <v>221</v>
      </c>
    </row>
    <row r="394" spans="1:12">
      <c r="A394" s="3" t="s">
        <v>221</v>
      </c>
      <c r="B394" s="8" t="s">
        <v>51</v>
      </c>
      <c r="C394" s="7" t="s">
        <v>2484</v>
      </c>
      <c r="D394" s="3" t="s">
        <v>222</v>
      </c>
      <c r="E394" s="3" t="s">
        <v>2485</v>
      </c>
      <c r="F394" s="3" t="s">
        <v>543</v>
      </c>
      <c r="G394" s="3" t="s">
        <v>2486</v>
      </c>
      <c r="H394" s="3" t="s">
        <v>2423</v>
      </c>
      <c r="I394" s="3" t="s">
        <v>2487</v>
      </c>
      <c r="J394" s="3" t="s">
        <v>2410</v>
      </c>
      <c r="K394" s="3" t="s">
        <v>305</v>
      </c>
      <c r="L394" s="3" t="s">
        <v>221</v>
      </c>
    </row>
    <row r="395" spans="1:12">
      <c r="A395" s="3" t="s">
        <v>221</v>
      </c>
      <c r="B395" s="8" t="s">
        <v>51</v>
      </c>
      <c r="C395" s="7" t="s">
        <v>2488</v>
      </c>
      <c r="D395" s="3" t="s">
        <v>222</v>
      </c>
      <c r="E395" s="3" t="s">
        <v>2489</v>
      </c>
      <c r="F395" s="3" t="s">
        <v>766</v>
      </c>
      <c r="G395" s="3" t="s">
        <v>2490</v>
      </c>
      <c r="H395" s="3" t="s">
        <v>2491</v>
      </c>
      <c r="I395" s="3" t="s">
        <v>2492</v>
      </c>
      <c r="J395" s="3" t="s">
        <v>2410</v>
      </c>
      <c r="K395" s="3" t="s">
        <v>305</v>
      </c>
      <c r="L395" s="3" t="s">
        <v>221</v>
      </c>
    </row>
    <row r="396" spans="1:12">
      <c r="A396" s="3" t="s">
        <v>323</v>
      </c>
      <c r="B396" s="8" t="s">
        <v>51</v>
      </c>
      <c r="C396" s="7" t="s">
        <v>2493</v>
      </c>
      <c r="D396" s="3" t="s">
        <v>2088</v>
      </c>
      <c r="E396" s="3" t="s">
        <v>2494</v>
      </c>
      <c r="F396" s="3" t="s">
        <v>2090</v>
      </c>
      <c r="G396" s="3" t="s">
        <v>2495</v>
      </c>
      <c r="H396" s="3" t="s">
        <v>2496</v>
      </c>
      <c r="I396" s="3" t="s">
        <v>2497</v>
      </c>
      <c r="J396" s="3" t="s">
        <v>2410</v>
      </c>
      <c r="K396" s="3" t="s">
        <v>305</v>
      </c>
      <c r="L396" s="3" t="s">
        <v>323</v>
      </c>
    </row>
    <row r="397" spans="1:12">
      <c r="A397" s="3" t="s">
        <v>221</v>
      </c>
      <c r="B397" s="8" t="s">
        <v>51</v>
      </c>
      <c r="C397" s="7" t="s">
        <v>2498</v>
      </c>
      <c r="D397" s="3" t="s">
        <v>222</v>
      </c>
      <c r="E397" s="3" t="s">
        <v>2499</v>
      </c>
      <c r="F397" s="3" t="s">
        <v>557</v>
      </c>
      <c r="G397" s="3" t="s">
        <v>2500</v>
      </c>
      <c r="H397" s="3" t="s">
        <v>2501</v>
      </c>
      <c r="I397" s="3" t="s">
        <v>2502</v>
      </c>
      <c r="J397" s="3" t="s">
        <v>2410</v>
      </c>
      <c r="K397" s="3" t="s">
        <v>305</v>
      </c>
      <c r="L397" s="3" t="s">
        <v>221</v>
      </c>
    </row>
    <row r="398" spans="1:12">
      <c r="A398" s="3" t="s">
        <v>221</v>
      </c>
      <c r="B398" s="8" t="s">
        <v>51</v>
      </c>
      <c r="C398" s="7" t="s">
        <v>2503</v>
      </c>
      <c r="D398" s="3" t="s">
        <v>222</v>
      </c>
      <c r="E398" s="3" t="s">
        <v>2504</v>
      </c>
      <c r="F398" s="3" t="s">
        <v>787</v>
      </c>
      <c r="G398" s="3" t="s">
        <v>2505</v>
      </c>
      <c r="H398" s="3" t="s">
        <v>2506</v>
      </c>
      <c r="I398" s="3" t="s">
        <v>2507</v>
      </c>
      <c r="J398" s="3" t="s">
        <v>2410</v>
      </c>
      <c r="K398" s="3" t="s">
        <v>305</v>
      </c>
      <c r="L398" s="3" t="s">
        <v>221</v>
      </c>
    </row>
    <row r="399" spans="1:12">
      <c r="A399" s="3" t="s">
        <v>221</v>
      </c>
      <c r="B399" s="8" t="s">
        <v>51</v>
      </c>
      <c r="C399" s="7" t="s">
        <v>2508</v>
      </c>
      <c r="D399" s="3" t="s">
        <v>222</v>
      </c>
      <c r="E399" s="3" t="s">
        <v>2509</v>
      </c>
      <c r="F399" s="3" t="s">
        <v>685</v>
      </c>
      <c r="G399" s="3" t="s">
        <v>2510</v>
      </c>
      <c r="H399" s="3" t="s">
        <v>2511</v>
      </c>
      <c r="I399" s="3" t="s">
        <v>2512</v>
      </c>
      <c r="J399" s="3" t="s">
        <v>2410</v>
      </c>
      <c r="K399" s="3" t="s">
        <v>305</v>
      </c>
      <c r="L399" s="3" t="s">
        <v>221</v>
      </c>
    </row>
    <row r="400" spans="1:12">
      <c r="A400" s="3" t="s">
        <v>221</v>
      </c>
      <c r="B400" s="8" t="s">
        <v>51</v>
      </c>
      <c r="C400" s="7" t="s">
        <v>2513</v>
      </c>
      <c r="D400" s="3" t="s">
        <v>222</v>
      </c>
      <c r="E400" s="3" t="s">
        <v>2514</v>
      </c>
      <c r="F400" s="3" t="s">
        <v>2515</v>
      </c>
      <c r="G400" s="3" t="s">
        <v>2516</v>
      </c>
      <c r="H400" s="3" t="s">
        <v>2517</v>
      </c>
      <c r="I400" s="3" t="s">
        <v>2518</v>
      </c>
      <c r="J400" s="3" t="s">
        <v>2410</v>
      </c>
      <c r="K400" s="3" t="s">
        <v>2303</v>
      </c>
      <c r="L400" s="3" t="s">
        <v>221</v>
      </c>
    </row>
    <row r="401" spans="1:12">
      <c r="A401" s="3" t="s">
        <v>984</v>
      </c>
      <c r="B401" s="8" t="s">
        <v>51</v>
      </c>
      <c r="C401" s="7" t="s">
        <v>2519</v>
      </c>
      <c r="D401" s="3" t="s">
        <v>986</v>
      </c>
      <c r="E401" s="3" t="s">
        <v>2520</v>
      </c>
      <c r="F401" s="3" t="s">
        <v>2521</v>
      </c>
      <c r="G401" s="3" t="s">
        <v>2522</v>
      </c>
      <c r="H401" s="3" t="s">
        <v>2523</v>
      </c>
      <c r="I401" s="3" t="s">
        <v>2519</v>
      </c>
      <c r="J401" s="3"/>
      <c r="K401" s="3" t="s">
        <v>2524</v>
      </c>
      <c r="L401" s="3" t="s">
        <v>984</v>
      </c>
    </row>
    <row r="402" spans="1:12">
      <c r="A402" s="3" t="s">
        <v>221</v>
      </c>
      <c r="B402" s="8" t="s">
        <v>51</v>
      </c>
      <c r="C402" s="7" t="s">
        <v>2525</v>
      </c>
      <c r="D402" s="3" t="s">
        <v>222</v>
      </c>
      <c r="E402" s="3" t="s">
        <v>2526</v>
      </c>
      <c r="F402" s="3" t="s">
        <v>728</v>
      </c>
      <c r="G402" s="3" t="s">
        <v>755</v>
      </c>
      <c r="H402" s="3" t="s">
        <v>756</v>
      </c>
      <c r="I402" s="3" t="s">
        <v>2527</v>
      </c>
      <c r="J402" s="3" t="s">
        <v>2527</v>
      </c>
      <c r="K402" s="3" t="s">
        <v>305</v>
      </c>
      <c r="L402" s="3" t="s">
        <v>221</v>
      </c>
    </row>
    <row r="403" spans="1:12">
      <c r="A403" s="3" t="s">
        <v>221</v>
      </c>
      <c r="B403" s="8" t="s">
        <v>51</v>
      </c>
      <c r="C403" s="7" t="s">
        <v>2528</v>
      </c>
      <c r="D403" s="3" t="s">
        <v>222</v>
      </c>
      <c r="E403" s="3" t="s">
        <v>2529</v>
      </c>
      <c r="F403" s="3" t="s">
        <v>766</v>
      </c>
      <c r="G403" s="3" t="s">
        <v>2530</v>
      </c>
      <c r="H403" s="3" t="s">
        <v>2409</v>
      </c>
      <c r="I403" s="3" t="s">
        <v>2531</v>
      </c>
      <c r="J403" s="3" t="s">
        <v>2531</v>
      </c>
      <c r="K403" s="3" t="s">
        <v>305</v>
      </c>
      <c r="L403" s="3" t="s">
        <v>221</v>
      </c>
    </row>
    <row r="404" spans="1:12">
      <c r="A404" s="3" t="s">
        <v>221</v>
      </c>
      <c r="B404" s="8" t="s">
        <v>51</v>
      </c>
      <c r="C404" s="7" t="s">
        <v>2532</v>
      </c>
      <c r="D404" s="3" t="s">
        <v>222</v>
      </c>
      <c r="E404" s="3" t="s">
        <v>2533</v>
      </c>
      <c r="F404" s="3" t="s">
        <v>1973</v>
      </c>
      <c r="G404" s="3" t="s">
        <v>2534</v>
      </c>
      <c r="H404" s="3" t="s">
        <v>2535</v>
      </c>
      <c r="I404" s="3" t="s">
        <v>2536</v>
      </c>
      <c r="J404" s="3" t="s">
        <v>2410</v>
      </c>
      <c r="K404" s="3" t="s">
        <v>305</v>
      </c>
      <c r="L404" s="3" t="s">
        <v>221</v>
      </c>
    </row>
    <row r="405" spans="1:12">
      <c r="A405" s="3" t="s">
        <v>221</v>
      </c>
      <c r="B405" s="8" t="s">
        <v>51</v>
      </c>
      <c r="C405" s="7" t="s">
        <v>2537</v>
      </c>
      <c r="D405" s="3" t="s">
        <v>222</v>
      </c>
      <c r="E405" s="3" t="s">
        <v>2538</v>
      </c>
      <c r="F405" s="3" t="s">
        <v>607</v>
      </c>
      <c r="G405" s="3" t="s">
        <v>2539</v>
      </c>
      <c r="H405" s="3" t="s">
        <v>2540</v>
      </c>
      <c r="I405" s="3" t="s">
        <v>2541</v>
      </c>
      <c r="J405" s="3" t="s">
        <v>2541</v>
      </c>
      <c r="K405" s="3" t="s">
        <v>305</v>
      </c>
      <c r="L405" s="3" t="s">
        <v>221</v>
      </c>
    </row>
    <row r="406" spans="1:12">
      <c r="A406" s="3" t="s">
        <v>384</v>
      </c>
      <c r="B406" s="8" t="s">
        <v>51</v>
      </c>
      <c r="C406" s="7" t="s">
        <v>2542</v>
      </c>
      <c r="D406" s="3" t="s">
        <v>792</v>
      </c>
      <c r="E406" s="3" t="s">
        <v>2543</v>
      </c>
      <c r="F406" s="3" t="s">
        <v>2544</v>
      </c>
      <c r="G406" s="3" t="s">
        <v>2545</v>
      </c>
      <c r="H406" s="3" t="s">
        <v>2546</v>
      </c>
      <c r="I406" s="3" t="s">
        <v>2410</v>
      </c>
      <c r="J406" s="3" t="s">
        <v>2547</v>
      </c>
      <c r="K406" s="3" t="s">
        <v>305</v>
      </c>
      <c r="L406" s="3" t="s">
        <v>384</v>
      </c>
    </row>
    <row r="407" spans="1:12">
      <c r="A407" s="3" t="s">
        <v>866</v>
      </c>
      <c r="B407" s="8" t="s">
        <v>51</v>
      </c>
      <c r="C407" s="7" t="s">
        <v>2548</v>
      </c>
      <c r="D407" s="3" t="s">
        <v>868</v>
      </c>
      <c r="E407" s="3" t="s">
        <v>2549</v>
      </c>
      <c r="F407" s="3"/>
      <c r="G407" s="3" t="s">
        <v>2550</v>
      </c>
      <c r="H407" s="3" t="s">
        <v>2551</v>
      </c>
      <c r="I407" s="3" t="s">
        <v>2552</v>
      </c>
      <c r="J407" s="3" t="s">
        <v>2553</v>
      </c>
      <c r="K407" s="3" t="s">
        <v>874</v>
      </c>
      <c r="L407" s="3" t="s">
        <v>866</v>
      </c>
    </row>
    <row r="408" spans="1:12">
      <c r="A408" s="3" t="s">
        <v>221</v>
      </c>
      <c r="B408" s="8" t="s">
        <v>51</v>
      </c>
      <c r="C408" s="7" t="s">
        <v>2554</v>
      </c>
      <c r="D408" s="3" t="s">
        <v>222</v>
      </c>
      <c r="E408" s="3" t="s">
        <v>2555</v>
      </c>
      <c r="F408" s="3" t="s">
        <v>557</v>
      </c>
      <c r="G408" s="3" t="s">
        <v>2556</v>
      </c>
      <c r="H408" s="3" t="s">
        <v>2557</v>
      </c>
      <c r="I408" s="3" t="s">
        <v>682</v>
      </c>
      <c r="J408" s="3" t="s">
        <v>682</v>
      </c>
      <c r="K408" s="3" t="s">
        <v>305</v>
      </c>
      <c r="L408" s="3" t="s">
        <v>221</v>
      </c>
    </row>
    <row r="409" spans="1:12">
      <c r="A409" s="3" t="s">
        <v>221</v>
      </c>
      <c r="B409" s="8" t="s">
        <v>51</v>
      </c>
      <c r="C409" s="7" t="s">
        <v>2558</v>
      </c>
      <c r="D409" s="3" t="s">
        <v>222</v>
      </c>
      <c r="E409" s="3" t="s">
        <v>2559</v>
      </c>
      <c r="F409" s="3" t="s">
        <v>397</v>
      </c>
      <c r="G409" s="3" t="s">
        <v>2560</v>
      </c>
      <c r="H409" s="3" t="s">
        <v>2561</v>
      </c>
      <c r="I409" s="3" t="s">
        <v>682</v>
      </c>
      <c r="J409" s="3" t="s">
        <v>682</v>
      </c>
      <c r="K409" s="3" t="s">
        <v>305</v>
      </c>
      <c r="L409" s="3" t="s">
        <v>221</v>
      </c>
    </row>
    <row r="410" spans="1:12">
      <c r="A410" s="3" t="s">
        <v>221</v>
      </c>
      <c r="B410" s="8" t="s">
        <v>51</v>
      </c>
      <c r="C410" s="7" t="s">
        <v>2562</v>
      </c>
      <c r="D410" s="3" t="s">
        <v>222</v>
      </c>
      <c r="E410" s="3" t="s">
        <v>2563</v>
      </c>
      <c r="F410" s="3" t="s">
        <v>557</v>
      </c>
      <c r="G410" s="3" t="s">
        <v>2564</v>
      </c>
      <c r="H410" s="3" t="s">
        <v>2565</v>
      </c>
      <c r="I410" s="3" t="s">
        <v>682</v>
      </c>
      <c r="J410" s="3" t="s">
        <v>682</v>
      </c>
      <c r="K410" s="3" t="s">
        <v>305</v>
      </c>
      <c r="L410" s="3" t="s">
        <v>221</v>
      </c>
    </row>
    <row r="411" spans="1:12">
      <c r="A411" s="3" t="s">
        <v>221</v>
      </c>
      <c r="B411" s="8" t="s">
        <v>51</v>
      </c>
      <c r="C411" s="7" t="s">
        <v>2566</v>
      </c>
      <c r="D411" s="3" t="s">
        <v>222</v>
      </c>
      <c r="E411" s="3" t="s">
        <v>2567</v>
      </c>
      <c r="F411" s="3" t="s">
        <v>397</v>
      </c>
      <c r="G411" s="3" t="s">
        <v>2568</v>
      </c>
      <c r="H411" s="3" t="s">
        <v>2569</v>
      </c>
      <c r="I411" s="3" t="s">
        <v>682</v>
      </c>
      <c r="J411" s="3" t="s">
        <v>682</v>
      </c>
      <c r="K411" s="3" t="s">
        <v>305</v>
      </c>
      <c r="L411" s="3" t="s">
        <v>221</v>
      </c>
    </row>
    <row r="412" spans="1:12">
      <c r="A412" s="3" t="s">
        <v>221</v>
      </c>
      <c r="B412" s="8" t="s">
        <v>51</v>
      </c>
      <c r="C412" s="7" t="s">
        <v>2570</v>
      </c>
      <c r="D412" s="3" t="s">
        <v>222</v>
      </c>
      <c r="E412" s="3" t="s">
        <v>2571</v>
      </c>
      <c r="F412" s="3" t="s">
        <v>550</v>
      </c>
      <c r="G412" s="3" t="s">
        <v>2572</v>
      </c>
      <c r="H412" s="3" t="s">
        <v>2573</v>
      </c>
      <c r="I412" s="3" t="s">
        <v>682</v>
      </c>
      <c r="J412" s="3" t="s">
        <v>682</v>
      </c>
      <c r="K412" s="3" t="s">
        <v>305</v>
      </c>
      <c r="L412" s="3" t="s">
        <v>221</v>
      </c>
    </row>
    <row r="413" spans="1:12">
      <c r="A413" s="3" t="s">
        <v>221</v>
      </c>
      <c r="B413" s="8" t="s">
        <v>51</v>
      </c>
      <c r="C413" s="7" t="s">
        <v>2574</v>
      </c>
      <c r="D413" s="3" t="s">
        <v>222</v>
      </c>
      <c r="E413" s="3" t="s">
        <v>2575</v>
      </c>
      <c r="F413" s="3" t="s">
        <v>715</v>
      </c>
      <c r="G413" s="3" t="s">
        <v>2576</v>
      </c>
      <c r="H413" s="3" t="s">
        <v>2577</v>
      </c>
      <c r="I413" s="3" t="s">
        <v>682</v>
      </c>
      <c r="J413" s="3" t="s">
        <v>682</v>
      </c>
      <c r="K413" s="3" t="s">
        <v>305</v>
      </c>
      <c r="L413" s="3" t="s">
        <v>221</v>
      </c>
    </row>
    <row r="414" spans="1:12">
      <c r="A414" s="3" t="s">
        <v>221</v>
      </c>
      <c r="B414" s="8" t="s">
        <v>51</v>
      </c>
      <c r="C414" s="7" t="s">
        <v>2578</v>
      </c>
      <c r="D414" s="3" t="s">
        <v>222</v>
      </c>
      <c r="E414" s="3" t="s">
        <v>2579</v>
      </c>
      <c r="F414" s="3" t="s">
        <v>557</v>
      </c>
      <c r="G414" s="3" t="s">
        <v>2580</v>
      </c>
      <c r="H414" s="3" t="s">
        <v>2581</v>
      </c>
      <c r="I414" s="3" t="s">
        <v>2410</v>
      </c>
      <c r="J414" s="3" t="s">
        <v>2410</v>
      </c>
      <c r="K414" s="3" t="s">
        <v>305</v>
      </c>
      <c r="L414" s="3" t="s">
        <v>221</v>
      </c>
    </row>
    <row r="415" spans="1:12">
      <c r="A415" s="3" t="s">
        <v>221</v>
      </c>
      <c r="B415" s="8" t="s">
        <v>51</v>
      </c>
      <c r="C415" s="7" t="s">
        <v>2582</v>
      </c>
      <c r="D415" s="3" t="s">
        <v>222</v>
      </c>
      <c r="E415" s="3" t="s">
        <v>2583</v>
      </c>
      <c r="F415" s="3" t="s">
        <v>543</v>
      </c>
      <c r="G415" s="3" t="s">
        <v>2422</v>
      </c>
      <c r="H415" s="3" t="s">
        <v>2584</v>
      </c>
      <c r="I415" s="3" t="s">
        <v>682</v>
      </c>
      <c r="J415" s="3" t="s">
        <v>682</v>
      </c>
      <c r="K415" s="3" t="s">
        <v>305</v>
      </c>
      <c r="L415" s="3" t="s">
        <v>221</v>
      </c>
    </row>
    <row r="416" spans="1:12">
      <c r="A416" s="3" t="s">
        <v>384</v>
      </c>
      <c r="B416" s="8" t="s">
        <v>51</v>
      </c>
      <c r="C416" s="7" t="s">
        <v>2585</v>
      </c>
      <c r="D416" s="3" t="s">
        <v>792</v>
      </c>
      <c r="E416" s="3" t="s">
        <v>2586</v>
      </c>
      <c r="F416" s="3"/>
      <c r="G416" s="3" t="s">
        <v>2587</v>
      </c>
      <c r="H416" s="3" t="s">
        <v>2588</v>
      </c>
      <c r="I416" s="3" t="s">
        <v>1910</v>
      </c>
      <c r="J416" s="3"/>
      <c r="K416" s="3" t="s">
        <v>305</v>
      </c>
      <c r="L416" s="3" t="s">
        <v>384</v>
      </c>
    </row>
    <row r="417" spans="1:12">
      <c r="A417" s="3" t="s">
        <v>828</v>
      </c>
      <c r="B417" s="8" t="s">
        <v>51</v>
      </c>
      <c r="C417" s="7" t="s">
        <v>2589</v>
      </c>
      <c r="D417" s="3" t="s">
        <v>830</v>
      </c>
      <c r="E417" s="3" t="s">
        <v>2590</v>
      </c>
      <c r="F417" s="3"/>
      <c r="G417" s="3" t="s">
        <v>2591</v>
      </c>
      <c r="H417" s="3" t="s">
        <v>2592</v>
      </c>
      <c r="I417" s="3" t="s">
        <v>1910</v>
      </c>
      <c r="J417" s="3"/>
      <c r="K417" s="3" t="s">
        <v>305</v>
      </c>
      <c r="L417" s="3" t="s">
        <v>828</v>
      </c>
    </row>
    <row r="418" spans="1:12">
      <c r="A418" s="3" t="s">
        <v>384</v>
      </c>
      <c r="B418" s="8" t="s">
        <v>51</v>
      </c>
      <c r="C418" s="7" t="s">
        <v>2593</v>
      </c>
      <c r="D418" s="3" t="s">
        <v>792</v>
      </c>
      <c r="E418" s="3" t="s">
        <v>2594</v>
      </c>
      <c r="F418" s="3"/>
      <c r="G418" s="3" t="s">
        <v>2595</v>
      </c>
      <c r="H418" s="3" t="s">
        <v>2596</v>
      </c>
      <c r="I418" s="3" t="s">
        <v>1910</v>
      </c>
      <c r="J418" s="3"/>
      <c r="K418" s="3" t="s">
        <v>305</v>
      </c>
      <c r="L418" s="3" t="s">
        <v>384</v>
      </c>
    </row>
    <row r="419" spans="1:12">
      <c r="A419" s="3" t="s">
        <v>221</v>
      </c>
      <c r="B419" s="8" t="s">
        <v>51</v>
      </c>
      <c r="C419" s="7" t="s">
        <v>2597</v>
      </c>
      <c r="D419" s="3" t="s">
        <v>222</v>
      </c>
      <c r="E419" s="3" t="s">
        <v>2598</v>
      </c>
      <c r="F419" s="3" t="s">
        <v>323</v>
      </c>
      <c r="G419" s="3" t="s">
        <v>2325</v>
      </c>
      <c r="H419" s="3" t="s">
        <v>2599</v>
      </c>
      <c r="I419" s="3" t="s">
        <v>2410</v>
      </c>
      <c r="J419" s="3" t="s">
        <v>2600</v>
      </c>
      <c r="K419" s="3" t="s">
        <v>305</v>
      </c>
      <c r="L419" s="3" t="s">
        <v>221</v>
      </c>
    </row>
    <row r="420" spans="1:12">
      <c r="A420" s="3" t="s">
        <v>221</v>
      </c>
      <c r="B420" s="8" t="s">
        <v>51</v>
      </c>
      <c r="C420" s="7" t="s">
        <v>2601</v>
      </c>
      <c r="D420" s="3" t="s">
        <v>222</v>
      </c>
      <c r="E420" s="3" t="s">
        <v>2602</v>
      </c>
      <c r="F420" s="3" t="s">
        <v>300</v>
      </c>
      <c r="G420" s="3" t="s">
        <v>2603</v>
      </c>
      <c r="H420" s="3" t="s">
        <v>2604</v>
      </c>
      <c r="I420" s="3" t="s">
        <v>2410</v>
      </c>
      <c r="J420" s="3" t="s">
        <v>2600</v>
      </c>
      <c r="K420" s="3" t="s">
        <v>305</v>
      </c>
      <c r="L420" s="3" t="s">
        <v>221</v>
      </c>
    </row>
    <row r="421" spans="1:12">
      <c r="A421" s="3" t="s">
        <v>984</v>
      </c>
      <c r="B421" s="8" t="s">
        <v>51</v>
      </c>
      <c r="C421" s="7" t="s">
        <v>2605</v>
      </c>
      <c r="D421" s="3" t="s">
        <v>986</v>
      </c>
      <c r="E421" s="3" t="s">
        <v>2606</v>
      </c>
      <c r="F421" s="3"/>
      <c r="G421" s="3" t="s">
        <v>2607</v>
      </c>
      <c r="H421" s="3" t="s">
        <v>2608</v>
      </c>
      <c r="I421" s="3" t="s">
        <v>2609</v>
      </c>
      <c r="J421" s="3"/>
      <c r="K421" s="3" t="s">
        <v>305</v>
      </c>
      <c r="L421" s="3" t="s">
        <v>984</v>
      </c>
    </row>
    <row r="422" spans="1:12">
      <c r="A422" s="3" t="s">
        <v>384</v>
      </c>
      <c r="B422" s="8" t="s">
        <v>51</v>
      </c>
      <c r="C422" s="7" t="s">
        <v>2610</v>
      </c>
      <c r="D422" s="3" t="s">
        <v>792</v>
      </c>
      <c r="E422" s="3" t="s">
        <v>2611</v>
      </c>
      <c r="F422" s="3" t="s">
        <v>839</v>
      </c>
      <c r="G422" s="3" t="s">
        <v>838</v>
      </c>
      <c r="H422" s="3" t="s">
        <v>840</v>
      </c>
      <c r="I422" s="3" t="s">
        <v>2612</v>
      </c>
      <c r="J422" s="3" t="s">
        <v>2613</v>
      </c>
      <c r="K422" s="3" t="s">
        <v>305</v>
      </c>
      <c r="L422" s="3" t="s">
        <v>384</v>
      </c>
    </row>
    <row r="423" spans="1:12">
      <c r="A423" s="3" t="s">
        <v>384</v>
      </c>
      <c r="B423" s="8" t="s">
        <v>51</v>
      </c>
      <c r="C423" s="7" t="s">
        <v>2614</v>
      </c>
      <c r="D423" s="3" t="s">
        <v>792</v>
      </c>
      <c r="E423" s="3" t="s">
        <v>2615</v>
      </c>
      <c r="F423" s="3"/>
      <c r="G423" s="3" t="s">
        <v>1920</v>
      </c>
      <c r="H423" s="3" t="s">
        <v>2616</v>
      </c>
      <c r="I423" s="3" t="s">
        <v>2410</v>
      </c>
      <c r="J423" s="3" t="s">
        <v>2410</v>
      </c>
      <c r="K423" s="3" t="s">
        <v>305</v>
      </c>
      <c r="L423" s="3" t="s">
        <v>384</v>
      </c>
    </row>
    <row r="424" spans="1:12">
      <c r="A424" s="3" t="s">
        <v>384</v>
      </c>
      <c r="B424" s="8" t="s">
        <v>51</v>
      </c>
      <c r="C424" s="7" t="s">
        <v>2617</v>
      </c>
      <c r="D424" s="3" t="s">
        <v>792</v>
      </c>
      <c r="E424" s="3" t="s">
        <v>2618</v>
      </c>
      <c r="F424" s="3" t="s">
        <v>1447</v>
      </c>
      <c r="G424" s="3" t="s">
        <v>2619</v>
      </c>
      <c r="H424" s="3" t="s">
        <v>2620</v>
      </c>
      <c r="I424" s="3" t="s">
        <v>2410</v>
      </c>
      <c r="J424" s="3" t="s">
        <v>2410</v>
      </c>
      <c r="K424" s="3" t="s">
        <v>1845</v>
      </c>
      <c r="L424" s="3" t="s">
        <v>384</v>
      </c>
    </row>
    <row r="425" spans="1:12">
      <c r="A425" s="3" t="s">
        <v>221</v>
      </c>
      <c r="B425" s="8" t="s">
        <v>51</v>
      </c>
      <c r="C425" s="7" t="s">
        <v>2621</v>
      </c>
      <c r="D425" s="3" t="s">
        <v>222</v>
      </c>
      <c r="E425" s="3" t="s">
        <v>2622</v>
      </c>
      <c r="F425" s="3" t="s">
        <v>323</v>
      </c>
      <c r="G425" s="3" t="s">
        <v>1297</v>
      </c>
      <c r="H425" s="3" t="s">
        <v>2623</v>
      </c>
      <c r="I425" s="3" t="s">
        <v>2410</v>
      </c>
      <c r="J425" s="3" t="s">
        <v>2410</v>
      </c>
      <c r="K425" s="3" t="s">
        <v>305</v>
      </c>
      <c r="L425" s="3" t="s">
        <v>221</v>
      </c>
    </row>
    <row r="426" spans="1:12">
      <c r="A426" s="3" t="s">
        <v>221</v>
      </c>
      <c r="B426" s="8" t="s">
        <v>51</v>
      </c>
      <c r="C426" s="7" t="s">
        <v>2624</v>
      </c>
      <c r="D426" s="3" t="s">
        <v>222</v>
      </c>
      <c r="E426" s="3" t="s">
        <v>2625</v>
      </c>
      <c r="F426" s="3" t="s">
        <v>323</v>
      </c>
      <c r="G426" s="3" t="s">
        <v>1483</v>
      </c>
      <c r="H426" s="3" t="s">
        <v>1484</v>
      </c>
      <c r="I426" s="3" t="s">
        <v>2410</v>
      </c>
      <c r="J426" s="3" t="s">
        <v>2410</v>
      </c>
      <c r="K426" s="3" t="s">
        <v>305</v>
      </c>
      <c r="L426" s="3" t="s">
        <v>221</v>
      </c>
    </row>
    <row r="427" spans="1:12">
      <c r="A427" s="3" t="s">
        <v>221</v>
      </c>
      <c r="B427" s="8" t="s">
        <v>51</v>
      </c>
      <c r="C427" s="7" t="s">
        <v>2626</v>
      </c>
      <c r="D427" s="3" t="s">
        <v>222</v>
      </c>
      <c r="E427" s="3" t="s">
        <v>2627</v>
      </c>
      <c r="F427" s="3" t="s">
        <v>1884</v>
      </c>
      <c r="G427" s="3" t="s">
        <v>1885</v>
      </c>
      <c r="H427" s="3" t="s">
        <v>2628</v>
      </c>
      <c r="I427" s="3" t="s">
        <v>2626</v>
      </c>
      <c r="J427" s="3"/>
      <c r="K427" s="3" t="s">
        <v>2629</v>
      </c>
      <c r="L427" s="3" t="s">
        <v>221</v>
      </c>
    </row>
    <row r="428" spans="1:12">
      <c r="A428" s="3" t="s">
        <v>384</v>
      </c>
      <c r="B428" s="8" t="s">
        <v>51</v>
      </c>
      <c r="C428" s="7" t="s">
        <v>2630</v>
      </c>
      <c r="D428" s="3" t="s">
        <v>792</v>
      </c>
      <c r="E428" s="3" t="s">
        <v>799</v>
      </c>
      <c r="F428" s="3"/>
      <c r="G428" s="3" t="s">
        <v>2631</v>
      </c>
      <c r="H428" s="3" t="s">
        <v>2632</v>
      </c>
      <c r="I428" s="3" t="s">
        <v>2410</v>
      </c>
      <c r="J428" s="3" t="s">
        <v>2633</v>
      </c>
      <c r="K428" s="3" t="s">
        <v>305</v>
      </c>
      <c r="L428" s="3" t="s">
        <v>384</v>
      </c>
    </row>
    <row r="429" spans="1:12">
      <c r="A429" s="3" t="s">
        <v>820</v>
      </c>
      <c r="B429" s="8" t="s">
        <v>51</v>
      </c>
      <c r="C429" s="7" t="s">
        <v>2634</v>
      </c>
      <c r="D429" s="3" t="s">
        <v>822</v>
      </c>
      <c r="E429" s="3" t="s">
        <v>2635</v>
      </c>
      <c r="F429" s="3"/>
      <c r="G429" s="3" t="s">
        <v>2636</v>
      </c>
      <c r="H429" s="3" t="s">
        <v>2637</v>
      </c>
      <c r="I429" s="3" t="s">
        <v>2410</v>
      </c>
      <c r="J429" s="3" t="s">
        <v>2638</v>
      </c>
      <c r="K429" s="3" t="s">
        <v>305</v>
      </c>
      <c r="L429" s="3" t="s">
        <v>820</v>
      </c>
    </row>
    <row r="430" spans="1:12">
      <c r="A430" s="3" t="s">
        <v>384</v>
      </c>
      <c r="B430" s="8" t="s">
        <v>51</v>
      </c>
      <c r="C430" s="7" t="s">
        <v>2639</v>
      </c>
      <c r="D430" s="3" t="s">
        <v>792</v>
      </c>
      <c r="E430" s="3" t="s">
        <v>2640</v>
      </c>
      <c r="F430" s="3"/>
      <c r="G430" s="3" t="s">
        <v>2641</v>
      </c>
      <c r="H430" s="3" t="s">
        <v>2642</v>
      </c>
      <c r="I430" s="3" t="s">
        <v>2410</v>
      </c>
      <c r="J430" s="3" t="s">
        <v>2643</v>
      </c>
      <c r="K430" s="3" t="s">
        <v>305</v>
      </c>
      <c r="L430" s="3" t="s">
        <v>384</v>
      </c>
    </row>
    <row r="431" spans="1:12">
      <c r="A431" s="3" t="s">
        <v>384</v>
      </c>
      <c r="B431" s="8" t="s">
        <v>51</v>
      </c>
      <c r="C431" s="7" t="s">
        <v>2644</v>
      </c>
      <c r="D431" s="3" t="s">
        <v>792</v>
      </c>
      <c r="E431" s="3" t="s">
        <v>2640</v>
      </c>
      <c r="F431" s="3"/>
      <c r="G431" s="3" t="s">
        <v>2641</v>
      </c>
      <c r="H431" s="3" t="s">
        <v>2642</v>
      </c>
      <c r="I431" s="3" t="s">
        <v>2410</v>
      </c>
      <c r="J431" s="3" t="s">
        <v>2643</v>
      </c>
      <c r="K431" s="3" t="s">
        <v>305</v>
      </c>
      <c r="L431" s="3" t="s">
        <v>384</v>
      </c>
    </row>
    <row r="432" spans="1:12">
      <c r="A432" s="3" t="s">
        <v>384</v>
      </c>
      <c r="B432" s="8" t="s">
        <v>51</v>
      </c>
      <c r="C432" s="7" t="s">
        <v>2645</v>
      </c>
      <c r="D432" s="3" t="s">
        <v>792</v>
      </c>
      <c r="E432" s="3" t="s">
        <v>2640</v>
      </c>
      <c r="F432" s="3"/>
      <c r="G432" s="3" t="s">
        <v>2641</v>
      </c>
      <c r="H432" s="3" t="s">
        <v>2642</v>
      </c>
      <c r="I432" s="3" t="s">
        <v>2410</v>
      </c>
      <c r="J432" s="3" t="s">
        <v>2643</v>
      </c>
      <c r="K432" s="3" t="s">
        <v>305</v>
      </c>
      <c r="L432" s="3" t="s">
        <v>384</v>
      </c>
    </row>
    <row r="433" spans="1:12">
      <c r="A433" s="3" t="s">
        <v>384</v>
      </c>
      <c r="B433" s="8" t="s">
        <v>51</v>
      </c>
      <c r="C433" s="7" t="s">
        <v>2646</v>
      </c>
      <c r="D433" s="3" t="s">
        <v>792</v>
      </c>
      <c r="E433" s="3" t="s">
        <v>2640</v>
      </c>
      <c r="F433" s="3"/>
      <c r="G433" s="3" t="s">
        <v>2641</v>
      </c>
      <c r="H433" s="3" t="s">
        <v>2642</v>
      </c>
      <c r="I433" s="3" t="s">
        <v>2410</v>
      </c>
      <c r="J433" s="3" t="s">
        <v>2643</v>
      </c>
      <c r="K433" s="3" t="s">
        <v>305</v>
      </c>
      <c r="L433" s="3" t="s">
        <v>384</v>
      </c>
    </row>
    <row r="434" spans="1:12">
      <c r="A434" s="3" t="s">
        <v>221</v>
      </c>
      <c r="B434" s="8" t="s">
        <v>51</v>
      </c>
      <c r="C434" s="7" t="s">
        <v>2647</v>
      </c>
      <c r="D434" s="3" t="s">
        <v>222</v>
      </c>
      <c r="E434" s="3" t="s">
        <v>2648</v>
      </c>
      <c r="F434" s="3" t="s">
        <v>397</v>
      </c>
      <c r="G434" s="3" t="s">
        <v>2649</v>
      </c>
      <c r="H434" s="3" t="s">
        <v>2650</v>
      </c>
      <c r="I434" s="3" t="s">
        <v>682</v>
      </c>
      <c r="J434" s="3" t="s">
        <v>682</v>
      </c>
      <c r="K434" s="3" t="s">
        <v>305</v>
      </c>
      <c r="L434" s="3" t="s">
        <v>221</v>
      </c>
    </row>
    <row r="435" spans="1:12">
      <c r="A435" s="3" t="s">
        <v>221</v>
      </c>
      <c r="B435" s="8" t="s">
        <v>51</v>
      </c>
      <c r="C435" s="7" t="s">
        <v>2651</v>
      </c>
      <c r="D435" s="3" t="s">
        <v>222</v>
      </c>
      <c r="E435" s="3" t="s">
        <v>2652</v>
      </c>
      <c r="F435" s="3" t="s">
        <v>300</v>
      </c>
      <c r="G435" s="3" t="s">
        <v>2653</v>
      </c>
      <c r="H435" s="3" t="s">
        <v>2654</v>
      </c>
      <c r="I435" s="3" t="s">
        <v>682</v>
      </c>
      <c r="J435" s="3" t="s">
        <v>682</v>
      </c>
      <c r="K435" s="3" t="s">
        <v>305</v>
      </c>
      <c r="L435" s="3" t="s">
        <v>221</v>
      </c>
    </row>
    <row r="436" spans="1:12">
      <c r="A436" s="3" t="s">
        <v>384</v>
      </c>
      <c r="B436" s="8" t="s">
        <v>51</v>
      </c>
      <c r="C436" s="7" t="s">
        <v>2655</v>
      </c>
      <c r="D436" s="3" t="s">
        <v>792</v>
      </c>
      <c r="E436" s="3" t="s">
        <v>2656</v>
      </c>
      <c r="F436" s="3"/>
      <c r="G436" s="3" t="s">
        <v>2657</v>
      </c>
      <c r="H436" s="3" t="s">
        <v>2658</v>
      </c>
      <c r="I436" s="3" t="s">
        <v>2410</v>
      </c>
      <c r="J436" s="3" t="s">
        <v>2659</v>
      </c>
      <c r="K436" s="3" t="s">
        <v>305</v>
      </c>
      <c r="L436" s="3" t="s">
        <v>384</v>
      </c>
    </row>
    <row r="437" spans="1:12">
      <c r="A437" s="3" t="s">
        <v>384</v>
      </c>
      <c r="B437" s="8" t="s">
        <v>51</v>
      </c>
      <c r="C437" s="7" t="s">
        <v>2660</v>
      </c>
      <c r="D437" s="3" t="s">
        <v>792</v>
      </c>
      <c r="E437" s="3" t="s">
        <v>2661</v>
      </c>
      <c r="F437" s="3"/>
      <c r="G437" s="3" t="s">
        <v>850</v>
      </c>
      <c r="H437" s="3" t="s">
        <v>851</v>
      </c>
      <c r="I437" s="3" t="s">
        <v>2410</v>
      </c>
      <c r="J437" s="3" t="s">
        <v>2662</v>
      </c>
      <c r="K437" s="3" t="s">
        <v>305</v>
      </c>
      <c r="L437" s="3" t="s">
        <v>384</v>
      </c>
    </row>
    <row r="438" spans="1:12">
      <c r="A438" s="3" t="s">
        <v>221</v>
      </c>
      <c r="B438" s="8" t="s">
        <v>51</v>
      </c>
      <c r="C438" s="7" t="s">
        <v>2663</v>
      </c>
      <c r="D438" s="3" t="s">
        <v>222</v>
      </c>
      <c r="E438" s="3" t="s">
        <v>2664</v>
      </c>
      <c r="F438" s="3" t="s">
        <v>397</v>
      </c>
      <c r="G438" s="3" t="s">
        <v>2665</v>
      </c>
      <c r="H438" s="3" t="s">
        <v>2666</v>
      </c>
      <c r="I438" s="3" t="s">
        <v>2667</v>
      </c>
      <c r="J438" s="3" t="s">
        <v>2667</v>
      </c>
      <c r="K438" s="3" t="s">
        <v>305</v>
      </c>
      <c r="L438" s="3" t="s">
        <v>221</v>
      </c>
    </row>
    <row r="439" spans="1:12">
      <c r="A439" s="3" t="s">
        <v>221</v>
      </c>
      <c r="B439" s="8" t="s">
        <v>51</v>
      </c>
      <c r="C439" s="7" t="s">
        <v>2668</v>
      </c>
      <c r="D439" s="3" t="s">
        <v>222</v>
      </c>
      <c r="E439" s="3" t="s">
        <v>2669</v>
      </c>
      <c r="F439" s="3" t="s">
        <v>397</v>
      </c>
      <c r="G439" s="3" t="s">
        <v>2670</v>
      </c>
      <c r="H439" s="3" t="s">
        <v>2671</v>
      </c>
      <c r="I439" s="3" t="s">
        <v>2672</v>
      </c>
      <c r="J439" s="3" t="s">
        <v>2672</v>
      </c>
      <c r="K439" s="3" t="s">
        <v>305</v>
      </c>
      <c r="L439" s="3" t="s">
        <v>221</v>
      </c>
    </row>
    <row r="440" spans="1:12">
      <c r="A440" s="3" t="s">
        <v>221</v>
      </c>
      <c r="B440" s="8" t="s">
        <v>51</v>
      </c>
      <c r="C440" s="7" t="s">
        <v>2673</v>
      </c>
      <c r="D440" s="3" t="s">
        <v>222</v>
      </c>
      <c r="E440" s="3" t="s">
        <v>2674</v>
      </c>
      <c r="F440" s="3" t="s">
        <v>397</v>
      </c>
      <c r="G440" s="3" t="s">
        <v>2675</v>
      </c>
      <c r="H440" s="3" t="s">
        <v>2676</v>
      </c>
      <c r="I440" s="3" t="s">
        <v>2677</v>
      </c>
      <c r="J440" s="3" t="s">
        <v>2677</v>
      </c>
      <c r="K440" s="3" t="s">
        <v>305</v>
      </c>
      <c r="L440" s="3" t="s">
        <v>221</v>
      </c>
    </row>
    <row r="441" spans="1:12">
      <c r="A441" s="3" t="s">
        <v>221</v>
      </c>
      <c r="B441" s="8" t="s">
        <v>51</v>
      </c>
      <c r="C441" s="7" t="s">
        <v>2678</v>
      </c>
      <c r="D441" s="3" t="s">
        <v>222</v>
      </c>
      <c r="E441" s="3" t="s">
        <v>2679</v>
      </c>
      <c r="F441" s="3" t="s">
        <v>397</v>
      </c>
      <c r="G441" s="3" t="s">
        <v>2680</v>
      </c>
      <c r="H441" s="3" t="s">
        <v>2681</v>
      </c>
      <c r="I441" s="3" t="s">
        <v>2682</v>
      </c>
      <c r="J441" s="3" t="s">
        <v>2682</v>
      </c>
      <c r="K441" s="3" t="s">
        <v>305</v>
      </c>
      <c r="L441" s="3" t="s">
        <v>221</v>
      </c>
    </row>
    <row r="442" spans="1:12">
      <c r="A442" s="3" t="s">
        <v>221</v>
      </c>
      <c r="B442" s="8" t="s">
        <v>51</v>
      </c>
      <c r="C442" s="7" t="s">
        <v>2683</v>
      </c>
      <c r="D442" s="3" t="s">
        <v>222</v>
      </c>
      <c r="E442" s="3" t="s">
        <v>2684</v>
      </c>
      <c r="F442" s="3" t="s">
        <v>397</v>
      </c>
      <c r="G442" s="3" t="s">
        <v>2670</v>
      </c>
      <c r="H442" s="3" t="s">
        <v>2685</v>
      </c>
      <c r="I442" s="3" t="s">
        <v>2686</v>
      </c>
      <c r="J442" s="3" t="s">
        <v>2686</v>
      </c>
      <c r="K442" s="3" t="s">
        <v>305</v>
      </c>
      <c r="L442" s="3" t="s">
        <v>221</v>
      </c>
    </row>
    <row r="443" spans="1:12">
      <c r="A443" s="3" t="s">
        <v>820</v>
      </c>
      <c r="B443" s="8" t="s">
        <v>51</v>
      </c>
      <c r="C443" s="7" t="s">
        <v>2687</v>
      </c>
      <c r="D443" s="3" t="s">
        <v>822</v>
      </c>
      <c r="E443" s="3" t="s">
        <v>2688</v>
      </c>
      <c r="F443" s="3"/>
      <c r="G443" s="3" t="s">
        <v>2689</v>
      </c>
      <c r="H443" s="3" t="s">
        <v>2690</v>
      </c>
      <c r="I443" s="3" t="s">
        <v>2410</v>
      </c>
      <c r="J443" s="3" t="s">
        <v>2410</v>
      </c>
      <c r="K443" s="3" t="s">
        <v>305</v>
      </c>
      <c r="L443" s="3" t="s">
        <v>820</v>
      </c>
    </row>
    <row r="444" spans="1:12">
      <c r="A444" s="3" t="s">
        <v>2215</v>
      </c>
      <c r="B444" s="8" t="s">
        <v>51</v>
      </c>
      <c r="C444" s="7" t="s">
        <v>2691</v>
      </c>
      <c r="D444" s="3" t="s">
        <v>2217</v>
      </c>
      <c r="E444" s="3" t="s">
        <v>2692</v>
      </c>
      <c r="F444" s="3"/>
      <c r="G444" s="3" t="s">
        <v>2693</v>
      </c>
      <c r="H444" s="3" t="s">
        <v>2694</v>
      </c>
      <c r="I444" s="3" t="s">
        <v>2695</v>
      </c>
      <c r="J444" s="3" t="s">
        <v>2696</v>
      </c>
      <c r="K444" s="3" t="s">
        <v>2697</v>
      </c>
      <c r="L444" s="3" t="s">
        <v>2215</v>
      </c>
    </row>
    <row r="445" spans="1:12">
      <c r="A445" s="3" t="s">
        <v>221</v>
      </c>
      <c r="B445" s="8" t="s">
        <v>51</v>
      </c>
      <c r="C445" s="7" t="s">
        <v>2698</v>
      </c>
      <c r="D445" s="3" t="s">
        <v>222</v>
      </c>
      <c r="E445" s="3" t="s">
        <v>2699</v>
      </c>
      <c r="F445" s="3" t="s">
        <v>416</v>
      </c>
      <c r="G445" s="3" t="s">
        <v>2700</v>
      </c>
      <c r="H445" s="3" t="s">
        <v>2701</v>
      </c>
      <c r="I445" s="3" t="s">
        <v>682</v>
      </c>
      <c r="J445" s="3" t="s">
        <v>682</v>
      </c>
      <c r="K445" s="3" t="s">
        <v>305</v>
      </c>
      <c r="L445" s="3" t="s">
        <v>221</v>
      </c>
    </row>
    <row r="446" spans="1:12">
      <c r="A446" s="3" t="s">
        <v>221</v>
      </c>
      <c r="B446" s="8" t="s">
        <v>51</v>
      </c>
      <c r="C446" s="7" t="s">
        <v>2702</v>
      </c>
      <c r="D446" s="3" t="s">
        <v>222</v>
      </c>
      <c r="E446" s="3" t="s">
        <v>2703</v>
      </c>
      <c r="F446" s="3" t="s">
        <v>667</v>
      </c>
      <c r="G446" s="3" t="s">
        <v>680</v>
      </c>
      <c r="H446" s="3" t="s">
        <v>2704</v>
      </c>
      <c r="I446" s="3" t="s">
        <v>682</v>
      </c>
      <c r="J446" s="3" t="s">
        <v>682</v>
      </c>
      <c r="K446" s="3" t="s">
        <v>305</v>
      </c>
      <c r="L446" s="3" t="s">
        <v>221</v>
      </c>
    </row>
    <row r="447" spans="1:12">
      <c r="A447" s="3" t="s">
        <v>221</v>
      </c>
      <c r="B447" s="8" t="s">
        <v>51</v>
      </c>
      <c r="C447" s="7" t="s">
        <v>2705</v>
      </c>
      <c r="D447" s="3" t="s">
        <v>222</v>
      </c>
      <c r="E447" s="3" t="s">
        <v>2706</v>
      </c>
      <c r="F447" s="3" t="s">
        <v>323</v>
      </c>
      <c r="G447" s="3" t="s">
        <v>1191</v>
      </c>
      <c r="H447" s="3" t="s">
        <v>2707</v>
      </c>
      <c r="I447" s="3" t="s">
        <v>2708</v>
      </c>
      <c r="J447" s="3" t="s">
        <v>2709</v>
      </c>
      <c r="K447" s="3" t="s">
        <v>305</v>
      </c>
      <c r="L447" s="3" t="s">
        <v>221</v>
      </c>
    </row>
    <row r="448" spans="1:12">
      <c r="A448" s="3" t="s">
        <v>221</v>
      </c>
      <c r="B448" s="8" t="s">
        <v>51</v>
      </c>
      <c r="C448" s="7" t="s">
        <v>2710</v>
      </c>
      <c r="D448" s="3" t="s">
        <v>222</v>
      </c>
      <c r="E448" s="3" t="s">
        <v>2711</v>
      </c>
      <c r="F448" s="3" t="s">
        <v>323</v>
      </c>
      <c r="G448" s="3" t="s">
        <v>2712</v>
      </c>
      <c r="H448" s="3" t="s">
        <v>2713</v>
      </c>
      <c r="I448" s="3" t="s">
        <v>682</v>
      </c>
      <c r="J448" s="3" t="s">
        <v>682</v>
      </c>
      <c r="K448" s="3" t="s">
        <v>305</v>
      </c>
      <c r="L448" s="3" t="s">
        <v>221</v>
      </c>
    </row>
    <row r="449" spans="1:12">
      <c r="A449" s="3" t="s">
        <v>221</v>
      </c>
      <c r="B449" s="8" t="s">
        <v>51</v>
      </c>
      <c r="C449" s="7" t="s">
        <v>2714</v>
      </c>
      <c r="D449" s="3" t="s">
        <v>222</v>
      </c>
      <c r="E449" s="3" t="s">
        <v>2715</v>
      </c>
      <c r="F449" s="3" t="s">
        <v>323</v>
      </c>
      <c r="G449" s="3" t="s">
        <v>2716</v>
      </c>
      <c r="H449" s="3" t="s">
        <v>2717</v>
      </c>
      <c r="I449" s="3" t="s">
        <v>682</v>
      </c>
      <c r="J449" s="3" t="s">
        <v>682</v>
      </c>
      <c r="K449" s="3" t="s">
        <v>305</v>
      </c>
      <c r="L449" s="3" t="s">
        <v>221</v>
      </c>
    </row>
    <row r="450" spans="1:12">
      <c r="A450" s="3" t="s">
        <v>221</v>
      </c>
      <c r="B450" s="8" t="s">
        <v>51</v>
      </c>
      <c r="C450" s="7" t="s">
        <v>2718</v>
      </c>
      <c r="D450" s="3" t="s">
        <v>222</v>
      </c>
      <c r="E450" s="3" t="s">
        <v>2719</v>
      </c>
      <c r="F450" s="3" t="s">
        <v>323</v>
      </c>
      <c r="G450" s="3" t="s">
        <v>1297</v>
      </c>
      <c r="H450" s="3" t="s">
        <v>1298</v>
      </c>
      <c r="I450" s="3" t="s">
        <v>2720</v>
      </c>
      <c r="J450" s="3" t="s">
        <v>2720</v>
      </c>
      <c r="K450" s="3" t="s">
        <v>305</v>
      </c>
      <c r="L450" s="3" t="s">
        <v>221</v>
      </c>
    </row>
    <row r="451" spans="1:12">
      <c r="A451" s="3" t="s">
        <v>221</v>
      </c>
      <c r="B451" s="8" t="s">
        <v>51</v>
      </c>
      <c r="C451" s="7" t="s">
        <v>2721</v>
      </c>
      <c r="D451" s="3" t="s">
        <v>222</v>
      </c>
      <c r="E451" s="3" t="s">
        <v>2722</v>
      </c>
      <c r="F451" s="3" t="s">
        <v>323</v>
      </c>
      <c r="G451" s="3" t="s">
        <v>1297</v>
      </c>
      <c r="H451" s="3" t="s">
        <v>2723</v>
      </c>
      <c r="I451" s="3" t="s">
        <v>2724</v>
      </c>
      <c r="J451" s="3" t="s">
        <v>2725</v>
      </c>
      <c r="K451" s="3" t="s">
        <v>305</v>
      </c>
      <c r="L451" s="3" t="s">
        <v>221</v>
      </c>
    </row>
    <row r="452" spans="1:12">
      <c r="A452" s="3" t="s">
        <v>820</v>
      </c>
      <c r="B452" s="8" t="s">
        <v>51</v>
      </c>
      <c r="C452" s="7" t="s">
        <v>2726</v>
      </c>
      <c r="D452" s="3" t="s">
        <v>822</v>
      </c>
      <c r="E452" s="3" t="s">
        <v>2727</v>
      </c>
      <c r="F452" s="3" t="s">
        <v>2728</v>
      </c>
      <c r="G452" s="3" t="s">
        <v>2729</v>
      </c>
      <c r="H452" s="3" t="s">
        <v>2730</v>
      </c>
      <c r="I452" s="3" t="s">
        <v>2410</v>
      </c>
      <c r="J452" s="3" t="s">
        <v>2638</v>
      </c>
      <c r="K452" s="3" t="s">
        <v>305</v>
      </c>
      <c r="L452" s="3" t="s">
        <v>820</v>
      </c>
    </row>
    <row r="453" spans="1:12">
      <c r="A453" s="3" t="s">
        <v>384</v>
      </c>
      <c r="B453" s="8" t="s">
        <v>51</v>
      </c>
      <c r="C453" s="7" t="s">
        <v>2731</v>
      </c>
      <c r="D453" s="3" t="s">
        <v>792</v>
      </c>
      <c r="E453" s="3" t="s">
        <v>2732</v>
      </c>
      <c r="F453" s="3"/>
      <c r="G453" s="3" t="s">
        <v>1489</v>
      </c>
      <c r="H453" s="3" t="s">
        <v>1490</v>
      </c>
      <c r="I453" s="3" t="s">
        <v>2410</v>
      </c>
      <c r="J453" s="3"/>
      <c r="K453" s="3" t="s">
        <v>305</v>
      </c>
      <c r="L453" s="3" t="s">
        <v>384</v>
      </c>
    </row>
    <row r="454" spans="1:12">
      <c r="A454" s="3" t="s">
        <v>384</v>
      </c>
      <c r="B454" s="8" t="s">
        <v>51</v>
      </c>
      <c r="C454" s="7" t="s">
        <v>2733</v>
      </c>
      <c r="D454" s="3" t="s">
        <v>792</v>
      </c>
      <c r="E454" s="3" t="s">
        <v>2734</v>
      </c>
      <c r="F454" s="3"/>
      <c r="G454" s="3" t="s">
        <v>2735</v>
      </c>
      <c r="H454" s="3" t="s">
        <v>2736</v>
      </c>
      <c r="I454" s="3" t="s">
        <v>2410</v>
      </c>
      <c r="J454" s="3" t="s">
        <v>1718</v>
      </c>
      <c r="K454" s="3" t="s">
        <v>305</v>
      </c>
      <c r="L454" s="3" t="s">
        <v>384</v>
      </c>
    </row>
    <row r="455" spans="1:12">
      <c r="A455" s="3" t="s">
        <v>384</v>
      </c>
      <c r="B455" s="8" t="s">
        <v>51</v>
      </c>
      <c r="C455" s="7" t="s">
        <v>2737</v>
      </c>
      <c r="D455" s="3" t="s">
        <v>792</v>
      </c>
      <c r="E455" s="3" t="s">
        <v>2738</v>
      </c>
      <c r="F455" s="3" t="s">
        <v>2739</v>
      </c>
      <c r="G455" s="3" t="s">
        <v>2740</v>
      </c>
      <c r="H455" s="3" t="s">
        <v>1915</v>
      </c>
      <c r="I455" s="3" t="s">
        <v>2737</v>
      </c>
      <c r="J455" s="3"/>
      <c r="K455" s="3" t="s">
        <v>1622</v>
      </c>
      <c r="L455" s="3" t="s">
        <v>384</v>
      </c>
    </row>
    <row r="456" spans="1:12">
      <c r="A456" s="3" t="s">
        <v>2215</v>
      </c>
      <c r="B456" s="8" t="s">
        <v>51</v>
      </c>
      <c r="C456" s="7" t="s">
        <v>2741</v>
      </c>
      <c r="D456" s="3" t="s">
        <v>2217</v>
      </c>
      <c r="E456" s="3" t="s">
        <v>2742</v>
      </c>
      <c r="F456" s="3" t="s">
        <v>2225</v>
      </c>
      <c r="G456" s="3" t="s">
        <v>2226</v>
      </c>
      <c r="H456" s="3" t="s">
        <v>2227</v>
      </c>
      <c r="I456" s="3" t="s">
        <v>2743</v>
      </c>
      <c r="J456" s="3" t="s">
        <v>2410</v>
      </c>
      <c r="K456" s="3" t="s">
        <v>1622</v>
      </c>
      <c r="L456" s="3" t="s">
        <v>2215</v>
      </c>
    </row>
    <row r="457" spans="1:12">
      <c r="A457" s="3" t="s">
        <v>221</v>
      </c>
      <c r="B457" s="8" t="s">
        <v>51</v>
      </c>
      <c r="C457" s="7" t="s">
        <v>2744</v>
      </c>
      <c r="D457" s="3" t="s">
        <v>222</v>
      </c>
      <c r="E457" s="3" t="s">
        <v>2745</v>
      </c>
      <c r="F457" s="3" t="s">
        <v>772</v>
      </c>
      <c r="G457" s="3" t="s">
        <v>2746</v>
      </c>
      <c r="H457" s="3" t="s">
        <v>2747</v>
      </c>
      <c r="I457" s="3" t="s">
        <v>2748</v>
      </c>
      <c r="J457" s="3" t="s">
        <v>2749</v>
      </c>
      <c r="K457" s="3" t="s">
        <v>305</v>
      </c>
      <c r="L457" s="3" t="s">
        <v>221</v>
      </c>
    </row>
    <row r="458" spans="1:12">
      <c r="A458" s="3" t="s">
        <v>221</v>
      </c>
      <c r="B458" s="8" t="s">
        <v>51</v>
      </c>
      <c r="C458" s="7" t="s">
        <v>2750</v>
      </c>
      <c r="D458" s="3" t="s">
        <v>222</v>
      </c>
      <c r="E458" s="3" t="s">
        <v>2751</v>
      </c>
      <c r="F458" s="3" t="s">
        <v>550</v>
      </c>
      <c r="G458" s="3" t="s">
        <v>2752</v>
      </c>
      <c r="H458" s="3" t="s">
        <v>2753</v>
      </c>
      <c r="I458" s="3" t="s">
        <v>2754</v>
      </c>
      <c r="J458" s="3" t="s">
        <v>2755</v>
      </c>
      <c r="K458" s="3" t="s">
        <v>305</v>
      </c>
      <c r="L458" s="3" t="s">
        <v>221</v>
      </c>
    </row>
    <row r="459" spans="1:12">
      <c r="A459" s="3" t="s">
        <v>221</v>
      </c>
      <c r="B459" s="8" t="s">
        <v>51</v>
      </c>
      <c r="C459" s="7" t="s">
        <v>2756</v>
      </c>
      <c r="D459" s="3" t="s">
        <v>222</v>
      </c>
      <c r="E459" s="3" t="s">
        <v>2757</v>
      </c>
      <c r="F459" s="3" t="s">
        <v>685</v>
      </c>
      <c r="G459" s="3" t="s">
        <v>2758</v>
      </c>
      <c r="H459" s="3" t="s">
        <v>2759</v>
      </c>
      <c r="I459" s="3" t="s">
        <v>2760</v>
      </c>
      <c r="J459" s="3" t="s">
        <v>2761</v>
      </c>
      <c r="K459" s="3" t="s">
        <v>305</v>
      </c>
      <c r="L459" s="3" t="s">
        <v>221</v>
      </c>
    </row>
    <row r="460" spans="1:12">
      <c r="A460" s="3" t="s">
        <v>221</v>
      </c>
      <c r="B460" s="8" t="s">
        <v>51</v>
      </c>
      <c r="C460" s="7" t="s">
        <v>2762</v>
      </c>
      <c r="D460" s="3" t="s">
        <v>222</v>
      </c>
      <c r="E460" s="3" t="s">
        <v>2763</v>
      </c>
      <c r="F460" s="3" t="s">
        <v>2475</v>
      </c>
      <c r="G460" s="3" t="s">
        <v>2476</v>
      </c>
      <c r="H460" s="3" t="s">
        <v>2764</v>
      </c>
      <c r="I460" s="3" t="s">
        <v>2765</v>
      </c>
      <c r="J460" s="3" t="s">
        <v>2765</v>
      </c>
      <c r="K460" s="3" t="s">
        <v>305</v>
      </c>
      <c r="L460" s="3" t="s">
        <v>221</v>
      </c>
    </row>
    <row r="461" spans="1:12">
      <c r="A461" s="3" t="s">
        <v>221</v>
      </c>
      <c r="B461" s="8" t="s">
        <v>51</v>
      </c>
      <c r="C461" s="7" t="s">
        <v>2766</v>
      </c>
      <c r="D461" s="3" t="s">
        <v>222</v>
      </c>
      <c r="E461" s="3" t="s">
        <v>2767</v>
      </c>
      <c r="F461" s="3" t="s">
        <v>323</v>
      </c>
      <c r="G461" s="3" t="s">
        <v>2768</v>
      </c>
      <c r="H461" s="3" t="s">
        <v>2769</v>
      </c>
      <c r="I461" s="3" t="s">
        <v>682</v>
      </c>
      <c r="J461" s="3" t="s">
        <v>682</v>
      </c>
      <c r="K461" s="3" t="s">
        <v>305</v>
      </c>
      <c r="L461" s="3" t="s">
        <v>221</v>
      </c>
    </row>
    <row r="462" spans="1:12">
      <c r="A462" s="3" t="s">
        <v>221</v>
      </c>
      <c r="B462" s="8" t="s">
        <v>51</v>
      </c>
      <c r="C462" s="7" t="s">
        <v>2770</v>
      </c>
      <c r="D462" s="3" t="s">
        <v>222</v>
      </c>
      <c r="E462" s="3" t="s">
        <v>2771</v>
      </c>
      <c r="F462" s="3" t="s">
        <v>505</v>
      </c>
      <c r="G462" s="3" t="s">
        <v>2772</v>
      </c>
      <c r="H462" s="3" t="s">
        <v>2773</v>
      </c>
      <c r="I462" s="3" t="s">
        <v>2774</v>
      </c>
      <c r="J462" s="3" t="s">
        <v>2775</v>
      </c>
      <c r="K462" s="3" t="s">
        <v>305</v>
      </c>
      <c r="L462" s="3" t="s">
        <v>221</v>
      </c>
    </row>
    <row r="463" spans="1:12">
      <c r="A463" s="3" t="s">
        <v>221</v>
      </c>
      <c r="B463" s="8" t="s">
        <v>51</v>
      </c>
      <c r="C463" s="7" t="s">
        <v>2776</v>
      </c>
      <c r="D463" s="3" t="s">
        <v>222</v>
      </c>
      <c r="E463" s="3" t="s">
        <v>2777</v>
      </c>
      <c r="F463" s="3" t="s">
        <v>787</v>
      </c>
      <c r="G463" s="3" t="s">
        <v>1323</v>
      </c>
      <c r="H463" s="3" t="s">
        <v>2778</v>
      </c>
      <c r="I463" s="3" t="s">
        <v>2779</v>
      </c>
      <c r="J463" s="3" t="s">
        <v>2780</v>
      </c>
      <c r="K463" s="3" t="s">
        <v>305</v>
      </c>
      <c r="L463" s="3" t="s">
        <v>221</v>
      </c>
    </row>
    <row r="464" spans="1:12">
      <c r="A464" s="3" t="s">
        <v>221</v>
      </c>
      <c r="B464" s="8" t="s">
        <v>51</v>
      </c>
      <c r="C464" s="7" t="s">
        <v>2781</v>
      </c>
      <c r="D464" s="3" t="s">
        <v>222</v>
      </c>
      <c r="E464" s="3" t="s">
        <v>2782</v>
      </c>
      <c r="F464" s="3" t="s">
        <v>715</v>
      </c>
      <c r="G464" s="3" t="s">
        <v>2783</v>
      </c>
      <c r="H464" s="3" t="s">
        <v>2784</v>
      </c>
      <c r="I464" s="3" t="s">
        <v>682</v>
      </c>
      <c r="J464" s="3" t="s">
        <v>682</v>
      </c>
      <c r="K464" s="3" t="s">
        <v>2303</v>
      </c>
      <c r="L464" s="3" t="s">
        <v>221</v>
      </c>
    </row>
    <row r="465" spans="1:12">
      <c r="A465" s="3" t="s">
        <v>384</v>
      </c>
      <c r="B465" s="8" t="s">
        <v>51</v>
      </c>
      <c r="C465" s="7" t="s">
        <v>2785</v>
      </c>
      <c r="D465" s="3" t="s">
        <v>792</v>
      </c>
      <c r="E465" s="3" t="s">
        <v>2786</v>
      </c>
      <c r="F465" s="3"/>
      <c r="G465" s="3" t="s">
        <v>2787</v>
      </c>
      <c r="H465" s="3" t="s">
        <v>2788</v>
      </c>
      <c r="I465" s="3" t="s">
        <v>2410</v>
      </c>
      <c r="J465" s="3" t="s">
        <v>2789</v>
      </c>
      <c r="K465" s="3" t="s">
        <v>305</v>
      </c>
      <c r="L465" s="3" t="s">
        <v>384</v>
      </c>
    </row>
    <row r="466" spans="1:12">
      <c r="A466" s="3" t="s">
        <v>221</v>
      </c>
      <c r="B466" s="8" t="s">
        <v>51</v>
      </c>
      <c r="C466" s="7" t="s">
        <v>2790</v>
      </c>
      <c r="D466" s="3" t="s">
        <v>222</v>
      </c>
      <c r="E466" s="3" t="s">
        <v>2791</v>
      </c>
      <c r="F466" s="3" t="s">
        <v>557</v>
      </c>
      <c r="G466" s="3" t="s">
        <v>2792</v>
      </c>
      <c r="H466" s="3" t="s">
        <v>559</v>
      </c>
      <c r="I466" s="3" t="s">
        <v>682</v>
      </c>
      <c r="J466" s="3" t="s">
        <v>682</v>
      </c>
      <c r="K466" s="3" t="s">
        <v>305</v>
      </c>
      <c r="L466" s="3" t="s">
        <v>221</v>
      </c>
    </row>
    <row r="467" spans="1:12">
      <c r="A467" s="3" t="s">
        <v>2215</v>
      </c>
      <c r="B467" s="8" t="s">
        <v>51</v>
      </c>
      <c r="C467" s="7" t="s">
        <v>2793</v>
      </c>
      <c r="D467" s="3" t="s">
        <v>2217</v>
      </c>
      <c r="E467" s="3" t="s">
        <v>2794</v>
      </c>
      <c r="F467" s="3"/>
      <c r="G467" s="3" t="s">
        <v>2795</v>
      </c>
      <c r="H467" s="3" t="s">
        <v>2796</v>
      </c>
      <c r="I467" s="3" t="s">
        <v>2797</v>
      </c>
      <c r="J467" s="3" t="s">
        <v>2798</v>
      </c>
      <c r="K467" s="3" t="s">
        <v>2697</v>
      </c>
      <c r="L467" s="3" t="s">
        <v>2215</v>
      </c>
    </row>
    <row r="468" spans="1:12">
      <c r="A468" s="3" t="s">
        <v>221</v>
      </c>
      <c r="B468" s="8" t="s">
        <v>51</v>
      </c>
      <c r="C468" s="7" t="s">
        <v>2799</v>
      </c>
      <c r="D468" s="3" t="s">
        <v>222</v>
      </c>
      <c r="E468" s="3" t="s">
        <v>2800</v>
      </c>
      <c r="F468" s="3" t="s">
        <v>397</v>
      </c>
      <c r="G468" s="3" t="s">
        <v>2801</v>
      </c>
      <c r="H468" s="3" t="s">
        <v>2802</v>
      </c>
      <c r="I468" s="3" t="s">
        <v>2803</v>
      </c>
      <c r="J468" s="3" t="s">
        <v>2804</v>
      </c>
      <c r="K468" s="3" t="s">
        <v>305</v>
      </c>
      <c r="L468" s="3" t="s">
        <v>221</v>
      </c>
    </row>
    <row r="469" spans="1:12">
      <c r="A469" s="3" t="s">
        <v>2215</v>
      </c>
      <c r="B469" s="8" t="s">
        <v>51</v>
      </c>
      <c r="C469" s="7" t="s">
        <v>2805</v>
      </c>
      <c r="D469" s="3" t="s">
        <v>2217</v>
      </c>
      <c r="E469" s="3" t="s">
        <v>2806</v>
      </c>
      <c r="F469" s="3" t="s">
        <v>2225</v>
      </c>
      <c r="G469" s="3" t="s">
        <v>2807</v>
      </c>
      <c r="H469" s="3" t="s">
        <v>2227</v>
      </c>
      <c r="I469" s="3" t="s">
        <v>682</v>
      </c>
      <c r="J469" s="3" t="s">
        <v>2808</v>
      </c>
      <c r="K469" s="3" t="s">
        <v>2524</v>
      </c>
      <c r="L469" s="3" t="s">
        <v>2215</v>
      </c>
    </row>
    <row r="470" spans="1:12">
      <c r="A470" s="3" t="s">
        <v>221</v>
      </c>
      <c r="B470" s="8" t="s">
        <v>51</v>
      </c>
      <c r="C470" s="7" t="s">
        <v>2809</v>
      </c>
      <c r="D470" s="3" t="s">
        <v>222</v>
      </c>
      <c r="E470" s="3" t="s">
        <v>2810</v>
      </c>
      <c r="F470" s="3" t="s">
        <v>323</v>
      </c>
      <c r="G470" s="3" t="s">
        <v>1643</v>
      </c>
      <c r="H470" s="3" t="s">
        <v>2811</v>
      </c>
      <c r="I470" s="3" t="s">
        <v>682</v>
      </c>
      <c r="J470" s="3" t="s">
        <v>682</v>
      </c>
      <c r="K470" s="3" t="s">
        <v>305</v>
      </c>
      <c r="L470" s="3" t="s">
        <v>221</v>
      </c>
    </row>
    <row r="471" spans="1:12">
      <c r="A471" s="3" t="s">
        <v>323</v>
      </c>
      <c r="B471" s="8" t="s">
        <v>51</v>
      </c>
      <c r="C471" s="7" t="s">
        <v>2812</v>
      </c>
      <c r="D471" s="3" t="s">
        <v>2088</v>
      </c>
      <c r="E471" s="3" t="s">
        <v>2813</v>
      </c>
      <c r="F471" s="3" t="s">
        <v>2768</v>
      </c>
      <c r="G471" s="3" t="s">
        <v>2814</v>
      </c>
      <c r="H471" s="3" t="s">
        <v>2815</v>
      </c>
      <c r="I471" s="3" t="s">
        <v>2816</v>
      </c>
      <c r="J471" s="3" t="s">
        <v>2410</v>
      </c>
      <c r="K471" s="3" t="s">
        <v>1845</v>
      </c>
      <c r="L471" s="3" t="s">
        <v>323</v>
      </c>
    </row>
    <row r="472" spans="1:12">
      <c r="A472" s="3" t="s">
        <v>866</v>
      </c>
      <c r="B472" s="8" t="s">
        <v>51</v>
      </c>
      <c r="C472" s="7" t="s">
        <v>2817</v>
      </c>
      <c r="D472" s="3" t="s">
        <v>868</v>
      </c>
      <c r="E472" s="3" t="s">
        <v>2818</v>
      </c>
      <c r="F472" s="3"/>
      <c r="G472" s="3" t="s">
        <v>1196</v>
      </c>
      <c r="H472" s="3" t="s">
        <v>2819</v>
      </c>
      <c r="I472" s="3" t="s">
        <v>2817</v>
      </c>
      <c r="J472" s="3"/>
      <c r="K472" s="3" t="s">
        <v>2820</v>
      </c>
      <c r="L472" s="3" t="s">
        <v>866</v>
      </c>
    </row>
    <row r="473" spans="1:12">
      <c r="A473" s="3" t="s">
        <v>384</v>
      </c>
      <c r="B473" s="8" t="s">
        <v>51</v>
      </c>
      <c r="C473" s="7" t="s">
        <v>2821</v>
      </c>
      <c r="D473" s="3" t="s">
        <v>792</v>
      </c>
      <c r="E473" s="3" t="s">
        <v>2822</v>
      </c>
      <c r="F473" s="3"/>
      <c r="G473" s="3" t="s">
        <v>2823</v>
      </c>
      <c r="H473" s="3" t="s">
        <v>2824</v>
      </c>
      <c r="I473" s="3" t="s">
        <v>2821</v>
      </c>
      <c r="J473" s="3"/>
      <c r="K473" s="3" t="s">
        <v>1622</v>
      </c>
      <c r="L473" s="3" t="s">
        <v>384</v>
      </c>
    </row>
    <row r="474" spans="1:12">
      <c r="A474" s="3" t="s">
        <v>866</v>
      </c>
      <c r="B474" s="8" t="s">
        <v>51</v>
      </c>
      <c r="C474" s="7" t="s">
        <v>2825</v>
      </c>
      <c r="D474" s="3" t="s">
        <v>868</v>
      </c>
      <c r="E474" s="3" t="s">
        <v>2826</v>
      </c>
      <c r="F474" s="3"/>
      <c r="G474" s="3" t="s">
        <v>2827</v>
      </c>
      <c r="H474" s="3" t="s">
        <v>2828</v>
      </c>
      <c r="I474" s="3" t="s">
        <v>858</v>
      </c>
      <c r="J474" s="3" t="s">
        <v>859</v>
      </c>
      <c r="K474" s="3" t="s">
        <v>305</v>
      </c>
      <c r="L474" s="3" t="s">
        <v>866</v>
      </c>
    </row>
    <row r="475" spans="1:12">
      <c r="A475" s="3" t="s">
        <v>1930</v>
      </c>
      <c r="B475" s="8" t="s">
        <v>51</v>
      </c>
      <c r="C475" s="7" t="s">
        <v>2829</v>
      </c>
      <c r="D475" s="3" t="s">
        <v>1932</v>
      </c>
      <c r="E475" s="3" t="s">
        <v>2830</v>
      </c>
      <c r="F475" s="3"/>
      <c r="G475" s="3" t="s">
        <v>2831</v>
      </c>
      <c r="H475" s="3" t="s">
        <v>2832</v>
      </c>
      <c r="I475" s="3" t="s">
        <v>2829</v>
      </c>
      <c r="J475" s="3"/>
      <c r="K475" s="3" t="s">
        <v>1845</v>
      </c>
      <c r="L475" s="3" t="s">
        <v>1930</v>
      </c>
    </row>
    <row r="476" spans="1:12">
      <c r="A476" s="3" t="s">
        <v>1000</v>
      </c>
      <c r="B476" s="8" t="s">
        <v>51</v>
      </c>
      <c r="C476" s="7" t="s">
        <v>2833</v>
      </c>
      <c r="D476" s="3" t="s">
        <v>1002</v>
      </c>
      <c r="E476" s="3" t="s">
        <v>2834</v>
      </c>
      <c r="F476" s="3"/>
      <c r="G476" s="3" t="s">
        <v>2835</v>
      </c>
      <c r="H476" s="3" t="s">
        <v>2836</v>
      </c>
      <c r="I476" s="3" t="s">
        <v>2837</v>
      </c>
      <c r="J476" s="3"/>
      <c r="K476" s="3" t="s">
        <v>1911</v>
      </c>
      <c r="L476" s="3" t="s">
        <v>1000</v>
      </c>
    </row>
    <row r="477" spans="1:12">
      <c r="A477" s="3" t="s">
        <v>221</v>
      </c>
      <c r="B477" s="8" t="s">
        <v>51</v>
      </c>
      <c r="C477" s="7" t="s">
        <v>2838</v>
      </c>
      <c r="D477" s="3" t="s">
        <v>222</v>
      </c>
      <c r="E477" s="3" t="s">
        <v>2839</v>
      </c>
      <c r="F477" s="3" t="s">
        <v>323</v>
      </c>
      <c r="G477" s="3" t="s">
        <v>2840</v>
      </c>
      <c r="H477" s="3" t="s">
        <v>2841</v>
      </c>
      <c r="I477" s="3" t="s">
        <v>682</v>
      </c>
      <c r="J477" s="3" t="s">
        <v>682</v>
      </c>
      <c r="K477" s="3" t="s">
        <v>305</v>
      </c>
      <c r="L477" s="3" t="s">
        <v>221</v>
      </c>
    </row>
    <row r="478" spans="1:12">
      <c r="A478" s="3" t="s">
        <v>820</v>
      </c>
      <c r="B478" s="8" t="s">
        <v>51</v>
      </c>
      <c r="C478" s="7" t="s">
        <v>2842</v>
      </c>
      <c r="D478" s="3" t="s">
        <v>822</v>
      </c>
      <c r="E478" s="3" t="s">
        <v>2843</v>
      </c>
      <c r="F478" s="3"/>
      <c r="G478" s="3" t="s">
        <v>2844</v>
      </c>
      <c r="H478" s="3" t="s">
        <v>2845</v>
      </c>
      <c r="I478" s="3" t="s">
        <v>2410</v>
      </c>
      <c r="J478" s="3"/>
      <c r="K478" s="3" t="s">
        <v>1845</v>
      </c>
      <c r="L478" s="3" t="s">
        <v>820</v>
      </c>
    </row>
    <row r="479" spans="1:12">
      <c r="A479" s="3" t="s">
        <v>384</v>
      </c>
      <c r="B479" s="8" t="s">
        <v>51</v>
      </c>
      <c r="C479" s="7" t="s">
        <v>2846</v>
      </c>
      <c r="D479" s="3" t="s">
        <v>792</v>
      </c>
      <c r="E479" s="3" t="s">
        <v>2847</v>
      </c>
      <c r="F479" s="3" t="s">
        <v>2787</v>
      </c>
      <c r="G479" s="3" t="s">
        <v>839</v>
      </c>
      <c r="H479" s="3" t="s">
        <v>2788</v>
      </c>
      <c r="I479" s="3" t="s">
        <v>2848</v>
      </c>
      <c r="J479" s="3" t="s">
        <v>2643</v>
      </c>
      <c r="K479" s="3" t="s">
        <v>1911</v>
      </c>
      <c r="L479" s="3" t="s">
        <v>384</v>
      </c>
    </row>
    <row r="480" spans="1:12">
      <c r="A480" s="3" t="s">
        <v>221</v>
      </c>
      <c r="B480" s="8" t="s">
        <v>51</v>
      </c>
      <c r="C480" s="7" t="s">
        <v>2849</v>
      </c>
      <c r="D480" s="3" t="s">
        <v>222</v>
      </c>
      <c r="E480" s="3" t="s">
        <v>2850</v>
      </c>
      <c r="F480" s="3" t="s">
        <v>1408</v>
      </c>
      <c r="G480" s="3" t="s">
        <v>2851</v>
      </c>
      <c r="H480" s="3" t="s">
        <v>2852</v>
      </c>
      <c r="I480" s="3" t="s">
        <v>2853</v>
      </c>
      <c r="J480" s="3" t="s">
        <v>2853</v>
      </c>
      <c r="K480" s="3" t="s">
        <v>305</v>
      </c>
      <c r="L480" s="3" t="s">
        <v>221</v>
      </c>
    </row>
    <row r="481" spans="1:12">
      <c r="A481" s="3" t="s">
        <v>1000</v>
      </c>
      <c r="B481" s="8" t="s">
        <v>51</v>
      </c>
      <c r="C481" s="7" t="s">
        <v>2854</v>
      </c>
      <c r="D481" s="3" t="s">
        <v>1002</v>
      </c>
      <c r="E481" s="3" t="s">
        <v>2855</v>
      </c>
      <c r="F481" s="3"/>
      <c r="G481" s="3" t="s">
        <v>2856</v>
      </c>
      <c r="H481" s="3" t="s">
        <v>2857</v>
      </c>
      <c r="I481" s="3" t="s">
        <v>2854</v>
      </c>
      <c r="J481" s="3"/>
      <c r="K481" s="3" t="s">
        <v>2629</v>
      </c>
      <c r="L481" s="3" t="s">
        <v>1000</v>
      </c>
    </row>
    <row r="482" spans="1:12">
      <c r="A482" s="3" t="s">
        <v>221</v>
      </c>
      <c r="B482" s="8" t="s">
        <v>51</v>
      </c>
      <c r="C482" s="7" t="s">
        <v>2858</v>
      </c>
      <c r="D482" s="3" t="s">
        <v>222</v>
      </c>
      <c r="E482" s="3" t="s">
        <v>2859</v>
      </c>
      <c r="F482" s="3" t="s">
        <v>323</v>
      </c>
      <c r="G482" s="3" t="s">
        <v>2860</v>
      </c>
      <c r="H482" s="3" t="s">
        <v>2861</v>
      </c>
      <c r="I482" s="3" t="s">
        <v>2862</v>
      </c>
      <c r="J482" s="3" t="s">
        <v>2863</v>
      </c>
      <c r="K482" s="3" t="s">
        <v>305</v>
      </c>
      <c r="L482" s="3" t="s">
        <v>221</v>
      </c>
    </row>
    <row r="483" spans="1:12">
      <c r="A483" s="3" t="s">
        <v>221</v>
      </c>
      <c r="B483" s="8" t="s">
        <v>51</v>
      </c>
      <c r="C483" s="7" t="s">
        <v>2864</v>
      </c>
      <c r="D483" s="3" t="s">
        <v>222</v>
      </c>
      <c r="E483" s="3" t="s">
        <v>2865</v>
      </c>
      <c r="F483" s="3" t="s">
        <v>607</v>
      </c>
      <c r="G483" s="3" t="s">
        <v>2866</v>
      </c>
      <c r="H483" s="3" t="s">
        <v>2867</v>
      </c>
      <c r="I483" s="3" t="s">
        <v>2868</v>
      </c>
      <c r="J483" s="3" t="s">
        <v>2869</v>
      </c>
      <c r="K483" s="3" t="s">
        <v>305</v>
      </c>
      <c r="L483" s="3" t="s">
        <v>221</v>
      </c>
    </row>
    <row r="484" spans="1:12">
      <c r="A484" s="3" t="s">
        <v>2215</v>
      </c>
      <c r="B484" s="8" t="s">
        <v>51</v>
      </c>
      <c r="C484" s="7" t="s">
        <v>2870</v>
      </c>
      <c r="D484" s="3" t="s">
        <v>2217</v>
      </c>
      <c r="E484" s="3" t="s">
        <v>2871</v>
      </c>
      <c r="F484" s="3"/>
      <c r="G484" s="3" t="s">
        <v>2872</v>
      </c>
      <c r="H484" s="3" t="s">
        <v>2873</v>
      </c>
      <c r="I484" s="3" t="s">
        <v>2874</v>
      </c>
      <c r="J484" s="3"/>
      <c r="K484" s="3" t="s">
        <v>1622</v>
      </c>
      <c r="L484" s="3" t="s">
        <v>2215</v>
      </c>
    </row>
    <row r="485" spans="1:12">
      <c r="A485" s="3" t="s">
        <v>2215</v>
      </c>
      <c r="B485" s="8" t="s">
        <v>51</v>
      </c>
      <c r="C485" s="7" t="s">
        <v>2875</v>
      </c>
      <c r="D485" s="3" t="s">
        <v>2217</v>
      </c>
      <c r="E485" s="3" t="s">
        <v>2876</v>
      </c>
      <c r="F485" s="3" t="s">
        <v>2264</v>
      </c>
      <c r="G485" s="3" t="s">
        <v>2877</v>
      </c>
      <c r="H485" s="3" t="s">
        <v>2878</v>
      </c>
      <c r="I485" s="3" t="s">
        <v>682</v>
      </c>
      <c r="J485" s="3" t="s">
        <v>682</v>
      </c>
      <c r="K485" s="3" t="s">
        <v>305</v>
      </c>
      <c r="L485" s="3" t="s">
        <v>2215</v>
      </c>
    </row>
    <row r="486" spans="1:12">
      <c r="A486" s="3" t="s">
        <v>1930</v>
      </c>
      <c r="B486" s="8" t="s">
        <v>51</v>
      </c>
      <c r="C486" s="7" t="s">
        <v>2879</v>
      </c>
      <c r="D486" s="3" t="s">
        <v>1932</v>
      </c>
      <c r="E486" s="3" t="s">
        <v>2880</v>
      </c>
      <c r="F486" s="3"/>
      <c r="G486" s="3" t="s">
        <v>1668</v>
      </c>
      <c r="H486" s="3" t="s">
        <v>2881</v>
      </c>
      <c r="I486" s="3" t="s">
        <v>2882</v>
      </c>
      <c r="J486" s="3"/>
      <c r="K486" s="3" t="s">
        <v>1622</v>
      </c>
      <c r="L486" s="3" t="s">
        <v>1930</v>
      </c>
    </row>
    <row r="487" spans="1:12">
      <c r="A487" s="3" t="s">
        <v>1000</v>
      </c>
      <c r="B487" s="8" t="s">
        <v>51</v>
      </c>
      <c r="C487" s="7" t="s">
        <v>2883</v>
      </c>
      <c r="D487" s="3" t="s">
        <v>1002</v>
      </c>
      <c r="E487" s="3" t="s">
        <v>2884</v>
      </c>
      <c r="F487" s="3"/>
      <c r="G487" s="3" t="s">
        <v>2013</v>
      </c>
      <c r="H487" s="3" t="s">
        <v>2014</v>
      </c>
      <c r="I487" s="3" t="s">
        <v>2885</v>
      </c>
      <c r="J487" s="3"/>
      <c r="K487" s="3" t="s">
        <v>2885</v>
      </c>
      <c r="L487" s="3" t="s">
        <v>1000</v>
      </c>
    </row>
    <row r="488" spans="1:12">
      <c r="A488" s="3" t="s">
        <v>984</v>
      </c>
      <c r="B488" s="8" t="s">
        <v>51</v>
      </c>
      <c r="C488" s="7" t="s">
        <v>2886</v>
      </c>
      <c r="D488" s="3" t="s">
        <v>986</v>
      </c>
      <c r="E488" s="3" t="s">
        <v>2887</v>
      </c>
      <c r="F488" s="3"/>
      <c r="G488" s="3" t="s">
        <v>2888</v>
      </c>
      <c r="H488" s="3" t="s">
        <v>2889</v>
      </c>
      <c r="I488" s="3" t="s">
        <v>2890</v>
      </c>
      <c r="J488" s="3"/>
      <c r="K488" s="3" t="s">
        <v>2890</v>
      </c>
      <c r="L488" s="3" t="s">
        <v>984</v>
      </c>
    </row>
    <row r="489" spans="1:12">
      <c r="A489" s="3" t="s">
        <v>384</v>
      </c>
      <c r="B489" s="8" t="s">
        <v>51</v>
      </c>
      <c r="C489" s="7" t="s">
        <v>2891</v>
      </c>
      <c r="D489" s="3" t="s">
        <v>792</v>
      </c>
      <c r="E489" s="3" t="s">
        <v>2892</v>
      </c>
      <c r="F489" s="3"/>
      <c r="G489" s="3" t="s">
        <v>1447</v>
      </c>
      <c r="H489" s="3" t="s">
        <v>2893</v>
      </c>
      <c r="I489" s="3" t="s">
        <v>2894</v>
      </c>
      <c r="J489" s="3"/>
      <c r="K489" s="3" t="s">
        <v>2894</v>
      </c>
      <c r="L489" s="3" t="s">
        <v>384</v>
      </c>
    </row>
    <row r="490" spans="1:12">
      <c r="A490" s="3" t="s">
        <v>2215</v>
      </c>
      <c r="B490" s="8" t="s">
        <v>51</v>
      </c>
      <c r="C490" s="7" t="s">
        <v>2895</v>
      </c>
      <c r="D490" s="3" t="s">
        <v>2217</v>
      </c>
      <c r="E490" s="3" t="s">
        <v>2896</v>
      </c>
      <c r="F490" s="3" t="s">
        <v>2225</v>
      </c>
      <c r="G490" s="3" t="s">
        <v>2226</v>
      </c>
      <c r="H490" s="3" t="s">
        <v>2227</v>
      </c>
      <c r="I490" s="3" t="s">
        <v>682</v>
      </c>
      <c r="J490" s="3" t="s">
        <v>682</v>
      </c>
      <c r="K490" s="3" t="s">
        <v>305</v>
      </c>
      <c r="L490" s="3" t="s">
        <v>2215</v>
      </c>
    </row>
    <row r="491" spans="1:12">
      <c r="A491" s="3" t="s">
        <v>221</v>
      </c>
      <c r="B491" s="8" t="s">
        <v>51</v>
      </c>
      <c r="C491" s="7" t="s">
        <v>2897</v>
      </c>
      <c r="D491" s="3" t="s">
        <v>222</v>
      </c>
      <c r="E491" s="3" t="s">
        <v>2898</v>
      </c>
      <c r="F491" s="3"/>
      <c r="G491" s="3" t="s">
        <v>2899</v>
      </c>
      <c r="H491" s="3" t="s">
        <v>2900</v>
      </c>
      <c r="I491" s="3" t="s">
        <v>2901</v>
      </c>
      <c r="J491" s="3"/>
      <c r="K491" s="3" t="s">
        <v>305</v>
      </c>
      <c r="L491" s="3" t="s">
        <v>221</v>
      </c>
    </row>
    <row r="492" spans="1:12">
      <c r="A492" s="3" t="s">
        <v>384</v>
      </c>
      <c r="B492" s="8" t="s">
        <v>51</v>
      </c>
      <c r="C492" s="7" t="s">
        <v>2902</v>
      </c>
      <c r="D492" s="3" t="s">
        <v>792</v>
      </c>
      <c r="E492" s="3" t="s">
        <v>2903</v>
      </c>
      <c r="F492" s="3"/>
      <c r="G492" s="3" t="s">
        <v>2904</v>
      </c>
      <c r="H492" s="3" t="s">
        <v>2905</v>
      </c>
      <c r="I492" s="3" t="s">
        <v>2906</v>
      </c>
      <c r="J492" s="3"/>
      <c r="K492" s="3" t="s">
        <v>2907</v>
      </c>
      <c r="L492" s="3" t="s">
        <v>384</v>
      </c>
    </row>
    <row r="493" spans="1:12">
      <c r="A493" s="3" t="s">
        <v>221</v>
      </c>
      <c r="B493" s="8" t="s">
        <v>51</v>
      </c>
      <c r="C493" s="7" t="s">
        <v>2908</v>
      </c>
      <c r="D493" s="3" t="s">
        <v>222</v>
      </c>
      <c r="E493" s="3" t="s">
        <v>2909</v>
      </c>
      <c r="F493" s="3" t="s">
        <v>300</v>
      </c>
      <c r="G493" s="3" t="s">
        <v>2910</v>
      </c>
      <c r="H493" s="3" t="s">
        <v>2911</v>
      </c>
      <c r="I493" s="3" t="s">
        <v>682</v>
      </c>
      <c r="J493" s="3"/>
      <c r="K493" s="3" t="s">
        <v>2303</v>
      </c>
      <c r="L493" s="3" t="s">
        <v>221</v>
      </c>
    </row>
    <row r="494" spans="1:12">
      <c r="A494" s="3" t="s">
        <v>866</v>
      </c>
      <c r="B494" s="8" t="s">
        <v>51</v>
      </c>
      <c r="C494" s="7" t="s">
        <v>2912</v>
      </c>
      <c r="D494" s="3" t="s">
        <v>868</v>
      </c>
      <c r="E494" s="3" t="s">
        <v>2913</v>
      </c>
      <c r="F494" s="3" t="s">
        <v>2914</v>
      </c>
      <c r="G494" s="3" t="s">
        <v>2915</v>
      </c>
      <c r="H494" s="3" t="s">
        <v>2916</v>
      </c>
      <c r="I494" s="3" t="s">
        <v>2917</v>
      </c>
      <c r="J494" s="3" t="s">
        <v>2918</v>
      </c>
      <c r="K494" s="3" t="s">
        <v>874</v>
      </c>
      <c r="L494" s="3" t="s">
        <v>866</v>
      </c>
    </row>
    <row r="495" spans="1:12">
      <c r="A495" s="3" t="s">
        <v>221</v>
      </c>
      <c r="B495" s="8" t="s">
        <v>51</v>
      </c>
      <c r="C495" s="7" t="s">
        <v>2919</v>
      </c>
      <c r="D495" s="3" t="s">
        <v>222</v>
      </c>
      <c r="E495" s="3" t="s">
        <v>2920</v>
      </c>
      <c r="F495" s="3" t="s">
        <v>1829</v>
      </c>
      <c r="G495" s="3" t="s">
        <v>2921</v>
      </c>
      <c r="H495" s="3" t="s">
        <v>2922</v>
      </c>
      <c r="I495" s="3" t="s">
        <v>2923</v>
      </c>
      <c r="J495" s="3" t="s">
        <v>2924</v>
      </c>
      <c r="K495" s="3" t="s">
        <v>305</v>
      </c>
      <c r="L495" s="3" t="s">
        <v>221</v>
      </c>
    </row>
    <row r="496" spans="1:12">
      <c r="A496" s="3" t="s">
        <v>323</v>
      </c>
      <c r="B496" s="8" t="s">
        <v>51</v>
      </c>
      <c r="C496" s="7" t="s">
        <v>2925</v>
      </c>
      <c r="D496" s="3" t="s">
        <v>2088</v>
      </c>
      <c r="E496" s="3" t="s">
        <v>2926</v>
      </c>
      <c r="F496" s="3"/>
      <c r="G496" s="3" t="s">
        <v>2927</v>
      </c>
      <c r="H496" s="3" t="s">
        <v>2927</v>
      </c>
      <c r="I496" s="3" t="s">
        <v>2925</v>
      </c>
      <c r="J496" s="3"/>
      <c r="K496" s="3" t="s">
        <v>1911</v>
      </c>
      <c r="L496" s="3" t="s">
        <v>323</v>
      </c>
    </row>
    <row r="497" spans="1:12">
      <c r="A497" s="3" t="s">
        <v>384</v>
      </c>
      <c r="B497" s="8" t="s">
        <v>51</v>
      </c>
      <c r="C497" s="7" t="s">
        <v>2928</v>
      </c>
      <c r="D497" s="3" t="s">
        <v>792</v>
      </c>
      <c r="E497" s="3" t="s">
        <v>2929</v>
      </c>
      <c r="F497" s="3"/>
      <c r="G497" s="3" t="s">
        <v>2787</v>
      </c>
      <c r="H497" s="3" t="s">
        <v>2788</v>
      </c>
      <c r="I497" s="3" t="s">
        <v>2643</v>
      </c>
      <c r="J497" s="3" t="s">
        <v>2643</v>
      </c>
      <c r="K497" s="3" t="s">
        <v>1622</v>
      </c>
      <c r="L497" s="3" t="s">
        <v>384</v>
      </c>
    </row>
    <row r="498" spans="1:12">
      <c r="A498" s="3" t="s">
        <v>384</v>
      </c>
      <c r="B498" s="8" t="s">
        <v>51</v>
      </c>
      <c r="C498" s="7" t="s">
        <v>2930</v>
      </c>
      <c r="D498" s="3" t="s">
        <v>792</v>
      </c>
      <c r="E498" s="3" t="s">
        <v>2931</v>
      </c>
      <c r="F498" s="3"/>
      <c r="G498" s="3" t="s">
        <v>2932</v>
      </c>
      <c r="H498" s="3" t="s">
        <v>2933</v>
      </c>
      <c r="I498" s="3" t="s">
        <v>2906</v>
      </c>
      <c r="J498" s="3"/>
      <c r="K498" s="3" t="s">
        <v>2890</v>
      </c>
      <c r="L498" s="3" t="s">
        <v>384</v>
      </c>
    </row>
    <row r="499" spans="1:12">
      <c r="A499" s="3" t="s">
        <v>221</v>
      </c>
      <c r="B499" s="8" t="s">
        <v>2934</v>
      </c>
      <c r="C499" s="7" t="s">
        <v>2935</v>
      </c>
      <c r="D499" s="3" t="s">
        <v>222</v>
      </c>
      <c r="E499" s="3" t="s">
        <v>2936</v>
      </c>
      <c r="F499" s="3" t="s">
        <v>543</v>
      </c>
      <c r="G499" s="3" t="s">
        <v>2937</v>
      </c>
      <c r="H499" s="3" t="s">
        <v>2938</v>
      </c>
      <c r="I499" s="3" t="s">
        <v>2939</v>
      </c>
      <c r="J499" s="3" t="s">
        <v>2940</v>
      </c>
      <c r="K499" s="3" t="s">
        <v>305</v>
      </c>
      <c r="L499" s="3" t="s">
        <v>221</v>
      </c>
    </row>
    <row r="500" spans="1:12">
      <c r="A500" s="3" t="s">
        <v>221</v>
      </c>
      <c r="B500" s="8" t="s">
        <v>2934</v>
      </c>
      <c r="C500" s="7" t="s">
        <v>2941</v>
      </c>
      <c r="D500" s="3" t="s">
        <v>222</v>
      </c>
      <c r="E500" s="3" t="s">
        <v>2942</v>
      </c>
      <c r="F500" s="3" t="s">
        <v>323</v>
      </c>
      <c r="G500" s="3" t="s">
        <v>2075</v>
      </c>
      <c r="H500" s="3" t="s">
        <v>2076</v>
      </c>
      <c r="I500" s="3" t="s">
        <v>2410</v>
      </c>
      <c r="J500" s="3" t="s">
        <v>2410</v>
      </c>
      <c r="K500" s="3" t="s">
        <v>305</v>
      </c>
      <c r="L500" s="3" t="s">
        <v>221</v>
      </c>
    </row>
    <row r="501" spans="1:12">
      <c r="A501" s="3" t="s">
        <v>221</v>
      </c>
      <c r="B501" s="8" t="s">
        <v>2934</v>
      </c>
      <c r="C501" s="7" t="s">
        <v>2943</v>
      </c>
      <c r="D501" s="3" t="s">
        <v>222</v>
      </c>
      <c r="E501" s="3" t="s">
        <v>2944</v>
      </c>
      <c r="F501" s="3" t="s">
        <v>323</v>
      </c>
      <c r="G501" s="3" t="s">
        <v>2945</v>
      </c>
      <c r="H501" s="3" t="s">
        <v>353</v>
      </c>
      <c r="I501" s="3" t="s">
        <v>682</v>
      </c>
      <c r="J501" s="3" t="s">
        <v>682</v>
      </c>
      <c r="K501" s="3" t="s">
        <v>305</v>
      </c>
      <c r="L501" s="3" t="s">
        <v>221</v>
      </c>
    </row>
    <row r="502" spans="1:12">
      <c r="A502" s="3" t="s">
        <v>221</v>
      </c>
      <c r="B502" s="8" t="s">
        <v>2934</v>
      </c>
      <c r="C502" s="7" t="s">
        <v>2946</v>
      </c>
      <c r="D502" s="3" t="s">
        <v>222</v>
      </c>
      <c r="E502" s="3" t="s">
        <v>2947</v>
      </c>
      <c r="F502" s="3" t="s">
        <v>632</v>
      </c>
      <c r="G502" s="3" t="s">
        <v>2948</v>
      </c>
      <c r="H502" s="3" t="s">
        <v>658</v>
      </c>
      <c r="I502" s="3" t="s">
        <v>682</v>
      </c>
      <c r="J502" s="3" t="s">
        <v>682</v>
      </c>
      <c r="K502" s="3" t="s">
        <v>305</v>
      </c>
      <c r="L502" s="3" t="s">
        <v>221</v>
      </c>
    </row>
    <row r="503" spans="1:12">
      <c r="A503" s="3" t="s">
        <v>221</v>
      </c>
      <c r="B503" s="8" t="s">
        <v>2934</v>
      </c>
      <c r="C503" s="7" t="s">
        <v>2949</v>
      </c>
      <c r="D503" s="3" t="s">
        <v>222</v>
      </c>
      <c r="E503" s="3" t="s">
        <v>2950</v>
      </c>
      <c r="F503" s="3" t="s">
        <v>323</v>
      </c>
      <c r="G503" s="3" t="s">
        <v>2951</v>
      </c>
      <c r="H503" s="3" t="s">
        <v>2952</v>
      </c>
      <c r="I503" s="3" t="s">
        <v>2953</v>
      </c>
      <c r="J503" s="3" t="s">
        <v>2953</v>
      </c>
      <c r="K503" s="3" t="s">
        <v>305</v>
      </c>
      <c r="L503" s="3" t="s">
        <v>221</v>
      </c>
    </row>
    <row r="504" spans="1:12">
      <c r="A504" s="3" t="s">
        <v>221</v>
      </c>
      <c r="B504" s="8" t="s">
        <v>2934</v>
      </c>
      <c r="C504" s="7" t="s">
        <v>2954</v>
      </c>
      <c r="D504" s="3" t="s">
        <v>222</v>
      </c>
      <c r="E504" s="3" t="s">
        <v>2955</v>
      </c>
      <c r="F504" s="3" t="s">
        <v>557</v>
      </c>
      <c r="G504" s="3" t="s">
        <v>2956</v>
      </c>
      <c r="H504" s="3" t="s">
        <v>2957</v>
      </c>
      <c r="I504" s="3" t="s">
        <v>2958</v>
      </c>
      <c r="J504" s="3" t="s">
        <v>2959</v>
      </c>
      <c r="K504" s="3" t="s">
        <v>1911</v>
      </c>
      <c r="L504" s="3" t="s">
        <v>221</v>
      </c>
    </row>
    <row r="505" spans="1:12">
      <c r="A505" s="3" t="s">
        <v>221</v>
      </c>
      <c r="B505" s="8" t="s">
        <v>2934</v>
      </c>
      <c r="C505" s="7" t="s">
        <v>2960</v>
      </c>
      <c r="D505" s="3" t="s">
        <v>222</v>
      </c>
      <c r="E505" s="3" t="s">
        <v>2961</v>
      </c>
      <c r="F505" s="3" t="s">
        <v>594</v>
      </c>
      <c r="G505" s="3" t="s">
        <v>2962</v>
      </c>
      <c r="H505" s="3" t="s">
        <v>2963</v>
      </c>
      <c r="I505" s="3" t="s">
        <v>682</v>
      </c>
      <c r="J505" s="3" t="s">
        <v>682</v>
      </c>
      <c r="K505" s="3" t="s">
        <v>305</v>
      </c>
      <c r="L505" s="3" t="s">
        <v>221</v>
      </c>
    </row>
    <row r="506" spans="1:12">
      <c r="A506" s="3" t="s">
        <v>221</v>
      </c>
      <c r="B506" s="8" t="s">
        <v>2934</v>
      </c>
      <c r="C506" s="7" t="s">
        <v>2964</v>
      </c>
      <c r="D506" s="3" t="s">
        <v>222</v>
      </c>
      <c r="E506" s="3" t="s">
        <v>2965</v>
      </c>
      <c r="F506" s="3" t="s">
        <v>323</v>
      </c>
      <c r="G506" s="3" t="s">
        <v>2945</v>
      </c>
      <c r="H506" s="3" t="s">
        <v>2966</v>
      </c>
      <c r="I506" s="3" t="s">
        <v>2967</v>
      </c>
      <c r="J506" s="3" t="s">
        <v>2968</v>
      </c>
      <c r="K506" s="3" t="s">
        <v>305</v>
      </c>
      <c r="L506" s="3" t="s">
        <v>221</v>
      </c>
    </row>
    <row r="507" spans="1:12">
      <c r="A507" s="3" t="s">
        <v>221</v>
      </c>
      <c r="B507" s="8" t="s">
        <v>2934</v>
      </c>
      <c r="C507" s="7" t="s">
        <v>2969</v>
      </c>
      <c r="D507" s="3" t="s">
        <v>222</v>
      </c>
      <c r="E507" s="3" t="s">
        <v>2970</v>
      </c>
      <c r="F507" s="3" t="s">
        <v>323</v>
      </c>
      <c r="G507" s="3" t="s">
        <v>2971</v>
      </c>
      <c r="H507" s="3" t="s">
        <v>2952</v>
      </c>
      <c r="I507" s="3" t="s">
        <v>2972</v>
      </c>
      <c r="J507" s="3" t="s">
        <v>682</v>
      </c>
      <c r="K507" s="3" t="s">
        <v>305</v>
      </c>
      <c r="L507" s="3" t="s">
        <v>221</v>
      </c>
    </row>
    <row r="508" spans="1:12">
      <c r="A508" s="3" t="s">
        <v>221</v>
      </c>
      <c r="B508" s="8" t="s">
        <v>2934</v>
      </c>
      <c r="C508" s="7" t="s">
        <v>2973</v>
      </c>
      <c r="D508" s="3" t="s">
        <v>222</v>
      </c>
      <c r="E508" s="3" t="s">
        <v>2974</v>
      </c>
      <c r="F508" s="3" t="s">
        <v>300</v>
      </c>
      <c r="G508" s="3" t="s">
        <v>1611</v>
      </c>
      <c r="H508" s="3" t="s">
        <v>309</v>
      </c>
      <c r="I508" s="3" t="s">
        <v>2975</v>
      </c>
      <c r="J508" s="3" t="s">
        <v>2975</v>
      </c>
      <c r="K508" s="3" t="s">
        <v>305</v>
      </c>
      <c r="L508" s="3" t="s">
        <v>221</v>
      </c>
    </row>
    <row r="509" spans="1:12">
      <c r="A509" s="3" t="s">
        <v>221</v>
      </c>
      <c r="B509" s="8" t="s">
        <v>2976</v>
      </c>
      <c r="C509" s="7" t="s">
        <v>2977</v>
      </c>
      <c r="D509" s="3" t="s">
        <v>222</v>
      </c>
      <c r="E509" s="3" t="s">
        <v>2978</v>
      </c>
      <c r="F509" s="3" t="s">
        <v>323</v>
      </c>
      <c r="G509" s="3" t="s">
        <v>2979</v>
      </c>
      <c r="H509" s="3" t="s">
        <v>2980</v>
      </c>
      <c r="I509" s="3" t="s">
        <v>2981</v>
      </c>
      <c r="J509" s="3" t="s">
        <v>2981</v>
      </c>
      <c r="K509" s="3" t="s">
        <v>305</v>
      </c>
      <c r="L509" s="3" t="s">
        <v>221</v>
      </c>
    </row>
    <row r="510" spans="1:12">
      <c r="A510" s="3" t="s">
        <v>221</v>
      </c>
      <c r="B510" s="8" t="s">
        <v>2976</v>
      </c>
      <c r="C510" s="7" t="s">
        <v>2982</v>
      </c>
      <c r="D510" s="3" t="s">
        <v>222</v>
      </c>
      <c r="E510" s="3" t="s">
        <v>2983</v>
      </c>
      <c r="F510" s="3" t="s">
        <v>323</v>
      </c>
      <c r="G510" s="3" t="s">
        <v>2984</v>
      </c>
      <c r="H510" s="3" t="s">
        <v>2985</v>
      </c>
      <c r="I510" s="3" t="s">
        <v>2986</v>
      </c>
      <c r="J510" s="3" t="s">
        <v>2986</v>
      </c>
      <c r="K510" s="3" t="s">
        <v>305</v>
      </c>
      <c r="L510" s="3" t="s">
        <v>221</v>
      </c>
    </row>
    <row r="511" spans="1:12">
      <c r="A511" s="3" t="s">
        <v>221</v>
      </c>
      <c r="B511" s="8" t="s">
        <v>2976</v>
      </c>
      <c r="C511" s="7" t="s">
        <v>2987</v>
      </c>
      <c r="D511" s="3" t="s">
        <v>222</v>
      </c>
      <c r="E511" s="3" t="s">
        <v>2988</v>
      </c>
      <c r="F511" s="3" t="s">
        <v>300</v>
      </c>
      <c r="G511" s="3" t="s">
        <v>2989</v>
      </c>
      <c r="H511" s="3" t="s">
        <v>2990</v>
      </c>
      <c r="I511" s="3" t="s">
        <v>2991</v>
      </c>
      <c r="J511" s="3" t="s">
        <v>2991</v>
      </c>
      <c r="K511" s="3" t="s">
        <v>305</v>
      </c>
      <c r="L511" s="3" t="s">
        <v>221</v>
      </c>
    </row>
    <row r="512" spans="1:12">
      <c r="A512" s="3" t="s">
        <v>221</v>
      </c>
      <c r="B512" s="8" t="s">
        <v>2976</v>
      </c>
      <c r="C512" s="7" t="s">
        <v>2992</v>
      </c>
      <c r="D512" s="3" t="s">
        <v>222</v>
      </c>
      <c r="E512" s="3" t="s">
        <v>2993</v>
      </c>
      <c r="F512" s="3" t="s">
        <v>449</v>
      </c>
      <c r="G512" s="3" t="s">
        <v>2994</v>
      </c>
      <c r="H512" s="3" t="s">
        <v>2995</v>
      </c>
      <c r="I512" s="3" t="s">
        <v>2996</v>
      </c>
      <c r="J512" s="3" t="s">
        <v>2996</v>
      </c>
      <c r="K512" s="3" t="s">
        <v>305</v>
      </c>
      <c r="L512" s="3" t="s">
        <v>221</v>
      </c>
    </row>
    <row r="513" spans="1:12">
      <c r="A513" s="3" t="s">
        <v>221</v>
      </c>
      <c r="B513" s="8" t="s">
        <v>2976</v>
      </c>
      <c r="C513" s="7" t="s">
        <v>2997</v>
      </c>
      <c r="D513" s="3" t="s">
        <v>222</v>
      </c>
      <c r="E513" s="3" t="s">
        <v>2998</v>
      </c>
      <c r="F513" s="3" t="s">
        <v>416</v>
      </c>
      <c r="G513" s="3" t="s">
        <v>423</v>
      </c>
      <c r="H513" s="3" t="s">
        <v>424</v>
      </c>
      <c r="I513" s="3" t="s">
        <v>2999</v>
      </c>
      <c r="J513" s="3" t="s">
        <v>2999</v>
      </c>
      <c r="K513" s="3" t="s">
        <v>305</v>
      </c>
      <c r="L513" s="3" t="s">
        <v>221</v>
      </c>
    </row>
    <row r="514" spans="1:12">
      <c r="A514" s="3" t="s">
        <v>221</v>
      </c>
      <c r="B514" s="8" t="s">
        <v>2976</v>
      </c>
      <c r="C514" s="7" t="s">
        <v>3000</v>
      </c>
      <c r="D514" s="3" t="s">
        <v>222</v>
      </c>
      <c r="E514" s="3" t="s">
        <v>3001</v>
      </c>
      <c r="F514" s="3" t="s">
        <v>416</v>
      </c>
      <c r="G514" s="3" t="s">
        <v>423</v>
      </c>
      <c r="H514" s="3" t="s">
        <v>424</v>
      </c>
      <c r="I514" s="3" t="s">
        <v>3002</v>
      </c>
      <c r="J514" s="3" t="s">
        <v>3002</v>
      </c>
      <c r="K514" s="3" t="s">
        <v>305</v>
      </c>
      <c r="L514" s="3" t="s">
        <v>221</v>
      </c>
    </row>
    <row r="515" spans="1:12">
      <c r="A515" s="3" t="s">
        <v>221</v>
      </c>
      <c r="B515" s="8" t="s">
        <v>2976</v>
      </c>
      <c r="C515" s="7" t="s">
        <v>3003</v>
      </c>
      <c r="D515" s="3" t="s">
        <v>222</v>
      </c>
      <c r="E515" s="3" t="s">
        <v>3004</v>
      </c>
      <c r="F515" s="3" t="s">
        <v>462</v>
      </c>
      <c r="G515" s="3" t="s">
        <v>475</v>
      </c>
      <c r="H515" s="3" t="s">
        <v>476</v>
      </c>
      <c r="I515" s="3" t="s">
        <v>3005</v>
      </c>
      <c r="J515" s="3" t="s">
        <v>3005</v>
      </c>
      <c r="K515" s="3" t="s">
        <v>305</v>
      </c>
      <c r="L515" s="3" t="s">
        <v>221</v>
      </c>
    </row>
    <row r="516" spans="1:12">
      <c r="A516" s="3" t="s">
        <v>221</v>
      </c>
      <c r="B516" s="8" t="s">
        <v>2976</v>
      </c>
      <c r="C516" s="7" t="s">
        <v>3006</v>
      </c>
      <c r="D516" s="3" t="s">
        <v>222</v>
      </c>
      <c r="E516" s="3" t="s">
        <v>3007</v>
      </c>
      <c r="F516" s="3" t="s">
        <v>397</v>
      </c>
      <c r="G516" s="3" t="s">
        <v>3008</v>
      </c>
      <c r="H516" s="3" t="s">
        <v>3009</v>
      </c>
      <c r="I516" s="3" t="s">
        <v>3010</v>
      </c>
      <c r="J516" s="3" t="s">
        <v>3010</v>
      </c>
      <c r="K516" s="3" t="s">
        <v>305</v>
      </c>
      <c r="L516" s="3" t="s">
        <v>221</v>
      </c>
    </row>
    <row r="517" spans="1:12">
      <c r="A517" s="3" t="s">
        <v>221</v>
      </c>
      <c r="B517" s="8" t="s">
        <v>2976</v>
      </c>
      <c r="C517" s="7" t="s">
        <v>3011</v>
      </c>
      <c r="D517" s="3" t="s">
        <v>222</v>
      </c>
      <c r="E517" s="3" t="s">
        <v>2978</v>
      </c>
      <c r="F517" s="3" t="s">
        <v>323</v>
      </c>
      <c r="G517" s="3" t="s">
        <v>2979</v>
      </c>
      <c r="H517" s="3" t="s">
        <v>2980</v>
      </c>
      <c r="I517" s="3" t="s">
        <v>3012</v>
      </c>
      <c r="J517" s="3" t="s">
        <v>3012</v>
      </c>
      <c r="K517" s="3" t="s">
        <v>305</v>
      </c>
      <c r="L517" s="3" t="s">
        <v>221</v>
      </c>
    </row>
    <row r="518" spans="1:12">
      <c r="A518" s="3" t="s">
        <v>221</v>
      </c>
      <c r="B518" s="8" t="s">
        <v>2976</v>
      </c>
      <c r="C518" s="7" t="s">
        <v>3013</v>
      </c>
      <c r="D518" s="3" t="s">
        <v>222</v>
      </c>
      <c r="E518" s="3" t="s">
        <v>3014</v>
      </c>
      <c r="F518" s="3" t="s">
        <v>449</v>
      </c>
      <c r="G518" s="3" t="s">
        <v>3015</v>
      </c>
      <c r="H518" s="3" t="s">
        <v>3016</v>
      </c>
      <c r="I518" s="3" t="s">
        <v>3017</v>
      </c>
      <c r="J518" s="3" t="s">
        <v>3017</v>
      </c>
      <c r="K518" s="3" t="s">
        <v>305</v>
      </c>
      <c r="L518" s="3" t="s">
        <v>221</v>
      </c>
    </row>
    <row r="519" spans="1:12">
      <c r="A519" s="3" t="s">
        <v>221</v>
      </c>
      <c r="B519" s="8" t="s">
        <v>2976</v>
      </c>
      <c r="C519" s="7" t="s">
        <v>3018</v>
      </c>
      <c r="D519" s="3" t="s">
        <v>222</v>
      </c>
      <c r="E519" s="3" t="s">
        <v>3019</v>
      </c>
      <c r="F519" s="3" t="s">
        <v>715</v>
      </c>
      <c r="G519" s="3" t="s">
        <v>3020</v>
      </c>
      <c r="H519" s="3" t="s">
        <v>3021</v>
      </c>
      <c r="I519" s="3" t="s">
        <v>3022</v>
      </c>
      <c r="J519" s="3" t="s">
        <v>3022</v>
      </c>
      <c r="K519" s="3" t="s">
        <v>305</v>
      </c>
      <c r="L519" s="3" t="s">
        <v>221</v>
      </c>
    </row>
    <row r="520" spans="1:12">
      <c r="A520" s="3" t="s">
        <v>221</v>
      </c>
      <c r="B520" s="8" t="s">
        <v>2976</v>
      </c>
      <c r="C520" s="7" t="s">
        <v>3023</v>
      </c>
      <c r="D520" s="3" t="s">
        <v>222</v>
      </c>
      <c r="E520" s="3" t="s">
        <v>3024</v>
      </c>
      <c r="F520" s="3" t="s">
        <v>715</v>
      </c>
      <c r="G520" s="3" t="s">
        <v>3025</v>
      </c>
      <c r="H520" s="3" t="s">
        <v>3026</v>
      </c>
      <c r="I520" s="3" t="s">
        <v>3027</v>
      </c>
      <c r="J520" s="3" t="s">
        <v>3027</v>
      </c>
      <c r="K520" s="3" t="s">
        <v>305</v>
      </c>
      <c r="L520" s="3" t="s">
        <v>221</v>
      </c>
    </row>
    <row r="521" spans="1:12">
      <c r="A521" s="3" t="s">
        <v>221</v>
      </c>
      <c r="B521" s="8" t="s">
        <v>2976</v>
      </c>
      <c r="C521" s="7" t="s">
        <v>3028</v>
      </c>
      <c r="D521" s="3" t="s">
        <v>222</v>
      </c>
      <c r="E521" s="3" t="s">
        <v>3029</v>
      </c>
      <c r="F521" s="3" t="s">
        <v>557</v>
      </c>
      <c r="G521" s="3" t="s">
        <v>3030</v>
      </c>
      <c r="H521" s="3" t="s">
        <v>3031</v>
      </c>
      <c r="I521" s="3" t="s">
        <v>3032</v>
      </c>
      <c r="J521" s="3" t="s">
        <v>3032</v>
      </c>
      <c r="K521" s="3" t="s">
        <v>305</v>
      </c>
      <c r="L521" s="3" t="s">
        <v>221</v>
      </c>
    </row>
    <row r="522" spans="1:12">
      <c r="A522" s="3" t="s">
        <v>221</v>
      </c>
      <c r="B522" s="8" t="s">
        <v>2976</v>
      </c>
      <c r="C522" s="7" t="s">
        <v>3033</v>
      </c>
      <c r="D522" s="3" t="s">
        <v>222</v>
      </c>
      <c r="E522" s="3" t="s">
        <v>3034</v>
      </c>
      <c r="F522" s="3" t="s">
        <v>505</v>
      </c>
      <c r="G522" s="3" t="s">
        <v>3035</v>
      </c>
      <c r="H522" s="3" t="s">
        <v>3036</v>
      </c>
      <c r="I522" s="3" t="s">
        <v>3037</v>
      </c>
      <c r="J522" s="3" t="s">
        <v>3037</v>
      </c>
      <c r="K522" s="3" t="s">
        <v>305</v>
      </c>
      <c r="L522" s="3" t="s">
        <v>221</v>
      </c>
    </row>
    <row r="523" spans="1:12">
      <c r="A523" s="3" t="s">
        <v>221</v>
      </c>
      <c r="B523" s="8" t="s">
        <v>2976</v>
      </c>
      <c r="C523" s="7" t="s">
        <v>3038</v>
      </c>
      <c r="D523" s="3" t="s">
        <v>222</v>
      </c>
      <c r="E523" s="3" t="s">
        <v>3039</v>
      </c>
      <c r="F523" s="3" t="s">
        <v>2475</v>
      </c>
      <c r="G523" s="3" t="s">
        <v>3040</v>
      </c>
      <c r="H523" s="3" t="s">
        <v>3041</v>
      </c>
      <c r="I523" s="3" t="s">
        <v>3042</v>
      </c>
      <c r="J523" s="3" t="s">
        <v>3042</v>
      </c>
      <c r="K523" s="3" t="s">
        <v>1911</v>
      </c>
      <c r="L523" s="3" t="s">
        <v>221</v>
      </c>
    </row>
    <row r="524" spans="1:12">
      <c r="A524" s="3" t="s">
        <v>221</v>
      </c>
      <c r="B524" s="8" t="s">
        <v>2976</v>
      </c>
      <c r="C524" s="7" t="s">
        <v>3043</v>
      </c>
      <c r="D524" s="3" t="s">
        <v>222</v>
      </c>
      <c r="E524" s="3" t="s">
        <v>3044</v>
      </c>
      <c r="F524" s="3" t="s">
        <v>323</v>
      </c>
      <c r="G524" s="3" t="s">
        <v>2979</v>
      </c>
      <c r="H524" s="3" t="s">
        <v>2980</v>
      </c>
      <c r="I524" s="3" t="s">
        <v>3045</v>
      </c>
      <c r="J524" s="3" t="s">
        <v>3045</v>
      </c>
      <c r="K524" s="3" t="s">
        <v>305</v>
      </c>
      <c r="L524" s="3" t="s">
        <v>221</v>
      </c>
    </row>
    <row r="525" spans="1:12">
      <c r="A525" s="3" t="s">
        <v>221</v>
      </c>
      <c r="B525" s="8" t="s">
        <v>2976</v>
      </c>
      <c r="C525" s="7" t="s">
        <v>3046</v>
      </c>
      <c r="D525" s="3" t="s">
        <v>222</v>
      </c>
      <c r="E525" s="3" t="s">
        <v>3047</v>
      </c>
      <c r="F525" s="3" t="s">
        <v>416</v>
      </c>
      <c r="G525" s="3" t="s">
        <v>3048</v>
      </c>
      <c r="H525" s="3" t="s">
        <v>3049</v>
      </c>
      <c r="I525" s="3" t="s">
        <v>3050</v>
      </c>
      <c r="J525" s="3" t="s">
        <v>3051</v>
      </c>
      <c r="K525" s="3" t="s">
        <v>305</v>
      </c>
      <c r="L525" s="3" t="s">
        <v>221</v>
      </c>
    </row>
    <row r="526" spans="1:12">
      <c r="A526" s="3" t="s">
        <v>221</v>
      </c>
      <c r="B526" s="8" t="s">
        <v>2976</v>
      </c>
      <c r="C526" s="7" t="s">
        <v>3052</v>
      </c>
      <c r="D526" s="3" t="s">
        <v>222</v>
      </c>
      <c r="E526" s="3" t="s">
        <v>3053</v>
      </c>
      <c r="F526" s="3" t="s">
        <v>323</v>
      </c>
      <c r="G526" s="3" t="s">
        <v>2984</v>
      </c>
      <c r="H526" s="3" t="s">
        <v>2985</v>
      </c>
      <c r="I526" s="3" t="s">
        <v>3054</v>
      </c>
      <c r="J526" s="3" t="s">
        <v>3051</v>
      </c>
      <c r="K526" s="3" t="s">
        <v>305</v>
      </c>
      <c r="L526" s="3" t="s">
        <v>221</v>
      </c>
    </row>
    <row r="527" spans="1:12">
      <c r="A527" s="3" t="s">
        <v>221</v>
      </c>
      <c r="B527" s="8" t="s">
        <v>2976</v>
      </c>
      <c r="C527" s="7" t="s">
        <v>3055</v>
      </c>
      <c r="D527" s="3" t="s">
        <v>222</v>
      </c>
      <c r="E527" s="3" t="s">
        <v>3056</v>
      </c>
      <c r="F527" s="3" t="s">
        <v>323</v>
      </c>
      <c r="G527" s="3" t="s">
        <v>2979</v>
      </c>
      <c r="H527" s="3" t="s">
        <v>2980</v>
      </c>
      <c r="I527" s="3" t="s">
        <v>3055</v>
      </c>
      <c r="J527" s="3" t="s">
        <v>3057</v>
      </c>
      <c r="K527" s="3" t="s">
        <v>305</v>
      </c>
      <c r="L527" s="3" t="s">
        <v>221</v>
      </c>
    </row>
    <row r="528" spans="1:12">
      <c r="A528" s="3" t="s">
        <v>221</v>
      </c>
      <c r="B528" s="8" t="s">
        <v>2976</v>
      </c>
      <c r="C528" s="7" t="s">
        <v>3058</v>
      </c>
      <c r="D528" s="3" t="s">
        <v>222</v>
      </c>
      <c r="E528" s="3" t="s">
        <v>3059</v>
      </c>
      <c r="F528" s="3" t="s">
        <v>557</v>
      </c>
      <c r="G528" s="3" t="s">
        <v>3060</v>
      </c>
      <c r="H528" s="3" t="s">
        <v>3061</v>
      </c>
      <c r="I528" s="3" t="s">
        <v>3062</v>
      </c>
      <c r="J528" s="3" t="s">
        <v>3062</v>
      </c>
      <c r="K528" s="3" t="s">
        <v>305</v>
      </c>
      <c r="L528" s="3" t="s">
        <v>221</v>
      </c>
    </row>
    <row r="529" spans="1:12">
      <c r="A529" s="3" t="s">
        <v>221</v>
      </c>
      <c r="B529" s="8" t="s">
        <v>2976</v>
      </c>
      <c r="C529" s="7" t="s">
        <v>3063</v>
      </c>
      <c r="D529" s="3" t="s">
        <v>222</v>
      </c>
      <c r="E529" s="3" t="s">
        <v>3064</v>
      </c>
      <c r="F529" s="3" t="s">
        <v>416</v>
      </c>
      <c r="G529" s="3" t="s">
        <v>423</v>
      </c>
      <c r="H529" s="3" t="s">
        <v>424</v>
      </c>
      <c r="I529" s="3" t="s">
        <v>3062</v>
      </c>
      <c r="J529" s="3" t="s">
        <v>3062</v>
      </c>
      <c r="K529" s="3" t="s">
        <v>305</v>
      </c>
      <c r="L529" s="3" t="s">
        <v>221</v>
      </c>
    </row>
    <row r="530" spans="1:12">
      <c r="A530" s="3" t="s">
        <v>221</v>
      </c>
      <c r="B530" s="8" t="s">
        <v>2976</v>
      </c>
      <c r="C530" s="7" t="s">
        <v>3065</v>
      </c>
      <c r="D530" s="3" t="s">
        <v>222</v>
      </c>
      <c r="E530" s="3" t="s">
        <v>3066</v>
      </c>
      <c r="F530" s="3" t="s">
        <v>715</v>
      </c>
      <c r="G530" s="3" t="s">
        <v>716</v>
      </c>
      <c r="H530" s="3" t="s">
        <v>3067</v>
      </c>
      <c r="I530" s="3" t="s">
        <v>3062</v>
      </c>
      <c r="J530" s="3" t="s">
        <v>3062</v>
      </c>
      <c r="K530" s="3" t="s">
        <v>305</v>
      </c>
      <c r="L530" s="3" t="s">
        <v>221</v>
      </c>
    </row>
    <row r="531" spans="1:12">
      <c r="A531" s="3" t="s">
        <v>221</v>
      </c>
      <c r="B531" s="8" t="s">
        <v>2976</v>
      </c>
      <c r="C531" s="7" t="s">
        <v>3068</v>
      </c>
      <c r="D531" s="3" t="s">
        <v>222</v>
      </c>
      <c r="E531" s="3" t="s">
        <v>3069</v>
      </c>
      <c r="F531" s="3" t="s">
        <v>728</v>
      </c>
      <c r="G531" s="3" t="s">
        <v>729</v>
      </c>
      <c r="H531" s="3" t="s">
        <v>3070</v>
      </c>
      <c r="I531" s="3" t="s">
        <v>3062</v>
      </c>
      <c r="J531" s="3" t="s">
        <v>3062</v>
      </c>
      <c r="K531" s="3" t="s">
        <v>305</v>
      </c>
      <c r="L531" s="3" t="s">
        <v>221</v>
      </c>
    </row>
    <row r="532" spans="1:12">
      <c r="A532" s="3" t="s">
        <v>221</v>
      </c>
      <c r="B532" s="8" t="s">
        <v>2976</v>
      </c>
      <c r="C532" s="7" t="s">
        <v>3071</v>
      </c>
      <c r="D532" s="3" t="s">
        <v>222</v>
      </c>
      <c r="E532" s="3" t="s">
        <v>3072</v>
      </c>
      <c r="F532" s="3" t="s">
        <v>557</v>
      </c>
      <c r="G532" s="3" t="s">
        <v>3073</v>
      </c>
      <c r="H532" s="3" t="s">
        <v>2957</v>
      </c>
      <c r="I532" s="3" t="s">
        <v>3062</v>
      </c>
      <c r="J532" s="3" t="s">
        <v>3062</v>
      </c>
      <c r="K532" s="3" t="s">
        <v>305</v>
      </c>
      <c r="L532" s="3" t="s">
        <v>221</v>
      </c>
    </row>
    <row r="533" spans="1:12">
      <c r="A533" s="3" t="s">
        <v>221</v>
      </c>
      <c r="B533" s="8" t="s">
        <v>2976</v>
      </c>
      <c r="C533" s="7" t="s">
        <v>3074</v>
      </c>
      <c r="D533" s="3" t="s">
        <v>222</v>
      </c>
      <c r="E533" s="3" t="s">
        <v>3075</v>
      </c>
      <c r="F533" s="3" t="s">
        <v>632</v>
      </c>
      <c r="G533" s="3" t="s">
        <v>645</v>
      </c>
      <c r="H533" s="3" t="s">
        <v>646</v>
      </c>
      <c r="I533" s="3" t="s">
        <v>3051</v>
      </c>
      <c r="J533" s="3" t="s">
        <v>3051</v>
      </c>
      <c r="K533" s="3" t="s">
        <v>305</v>
      </c>
      <c r="L533" s="3" t="s">
        <v>221</v>
      </c>
    </row>
    <row r="534" spans="1:12">
      <c r="A534" s="3" t="s">
        <v>221</v>
      </c>
      <c r="B534" s="8" t="s">
        <v>2976</v>
      </c>
      <c r="C534" s="7" t="s">
        <v>3076</v>
      </c>
      <c r="D534" s="3" t="s">
        <v>222</v>
      </c>
      <c r="E534" s="3" t="s">
        <v>3077</v>
      </c>
      <c r="F534" s="3" t="s">
        <v>557</v>
      </c>
      <c r="G534" s="3" t="s">
        <v>3030</v>
      </c>
      <c r="H534" s="3" t="s">
        <v>3031</v>
      </c>
      <c r="I534" s="3" t="s">
        <v>3051</v>
      </c>
      <c r="J534" s="3" t="s">
        <v>3051</v>
      </c>
      <c r="K534" s="3" t="s">
        <v>305</v>
      </c>
      <c r="L534" s="3" t="s">
        <v>221</v>
      </c>
    </row>
    <row r="535" spans="1:12">
      <c r="A535" s="3" t="s">
        <v>221</v>
      </c>
      <c r="B535" s="8" t="s">
        <v>2976</v>
      </c>
      <c r="C535" s="7" t="s">
        <v>3078</v>
      </c>
      <c r="D535" s="3" t="s">
        <v>222</v>
      </c>
      <c r="E535" s="3" t="s">
        <v>3079</v>
      </c>
      <c r="F535" s="3" t="s">
        <v>632</v>
      </c>
      <c r="G535" s="3" t="s">
        <v>1791</v>
      </c>
      <c r="H535" s="3" t="s">
        <v>3080</v>
      </c>
      <c r="I535" s="3" t="s">
        <v>3081</v>
      </c>
      <c r="J535" s="3" t="s">
        <v>3081</v>
      </c>
      <c r="K535" s="3" t="s">
        <v>1911</v>
      </c>
      <c r="L535" s="3" t="s">
        <v>221</v>
      </c>
    </row>
    <row r="536" spans="1:12">
      <c r="A536" s="3" t="s">
        <v>221</v>
      </c>
      <c r="B536" s="8" t="s">
        <v>2976</v>
      </c>
      <c r="C536" s="7" t="s">
        <v>3082</v>
      </c>
      <c r="D536" s="3" t="s">
        <v>222</v>
      </c>
      <c r="E536" s="3" t="s">
        <v>3083</v>
      </c>
      <c r="F536" s="3" t="s">
        <v>632</v>
      </c>
      <c r="G536" s="3" t="s">
        <v>3084</v>
      </c>
      <c r="H536" s="3" t="s">
        <v>3085</v>
      </c>
      <c r="I536" s="3" t="s">
        <v>3062</v>
      </c>
      <c r="J536" s="3" t="s">
        <v>3062</v>
      </c>
      <c r="K536" s="3" t="s">
        <v>305</v>
      </c>
      <c r="L536" s="3" t="s">
        <v>221</v>
      </c>
    </row>
    <row r="537" spans="1:12">
      <c r="A537" s="3" t="s">
        <v>221</v>
      </c>
      <c r="B537" s="8" t="s">
        <v>2976</v>
      </c>
      <c r="C537" s="7" t="s">
        <v>3086</v>
      </c>
      <c r="D537" s="3" t="s">
        <v>222</v>
      </c>
      <c r="E537" s="3" t="s">
        <v>3087</v>
      </c>
      <c r="F537" s="3" t="s">
        <v>505</v>
      </c>
      <c r="G537" s="3" t="s">
        <v>3088</v>
      </c>
      <c r="H537" s="3" t="s">
        <v>3036</v>
      </c>
      <c r="I537" s="3" t="s">
        <v>3089</v>
      </c>
      <c r="J537" s="3" t="s">
        <v>3089</v>
      </c>
      <c r="K537" s="3" t="s">
        <v>305</v>
      </c>
      <c r="L537" s="3" t="s">
        <v>221</v>
      </c>
    </row>
    <row r="538" spans="1:12">
      <c r="A538" s="3" t="s">
        <v>221</v>
      </c>
      <c r="B538" s="8" t="s">
        <v>2976</v>
      </c>
      <c r="C538" s="7" t="s">
        <v>3090</v>
      </c>
      <c r="D538" s="3" t="s">
        <v>222</v>
      </c>
      <c r="E538" s="3" t="s">
        <v>3091</v>
      </c>
      <c r="F538" s="3" t="s">
        <v>1408</v>
      </c>
      <c r="G538" s="3" t="s">
        <v>3092</v>
      </c>
      <c r="H538" s="3" t="s">
        <v>3093</v>
      </c>
      <c r="I538" s="3" t="s">
        <v>3094</v>
      </c>
      <c r="J538" s="3" t="s">
        <v>3094</v>
      </c>
      <c r="K538" s="3" t="s">
        <v>305</v>
      </c>
      <c r="L538" s="3" t="s">
        <v>221</v>
      </c>
    </row>
    <row r="539" spans="1:12">
      <c r="A539" s="3" t="s">
        <v>221</v>
      </c>
      <c r="B539" s="8" t="s">
        <v>2976</v>
      </c>
      <c r="C539" s="7" t="s">
        <v>3095</v>
      </c>
      <c r="D539" s="3" t="s">
        <v>222</v>
      </c>
      <c r="E539" s="3" t="s">
        <v>3096</v>
      </c>
      <c r="F539" s="3" t="s">
        <v>416</v>
      </c>
      <c r="G539" s="3" t="s">
        <v>423</v>
      </c>
      <c r="H539" s="3" t="s">
        <v>424</v>
      </c>
      <c r="I539" s="3" t="s">
        <v>3097</v>
      </c>
      <c r="J539" s="3" t="s">
        <v>3097</v>
      </c>
      <c r="K539" s="3" t="s">
        <v>305</v>
      </c>
      <c r="L539" s="3" t="s">
        <v>221</v>
      </c>
    </row>
    <row r="540" spans="1:12">
      <c r="A540" s="3" t="s">
        <v>221</v>
      </c>
      <c r="B540" s="8" t="s">
        <v>2976</v>
      </c>
      <c r="C540" s="7" t="s">
        <v>3098</v>
      </c>
      <c r="D540" s="3" t="s">
        <v>222</v>
      </c>
      <c r="E540" s="3" t="s">
        <v>3099</v>
      </c>
      <c r="F540" s="3" t="s">
        <v>715</v>
      </c>
      <c r="G540" s="3" t="s">
        <v>3020</v>
      </c>
      <c r="H540" s="3" t="s">
        <v>3021</v>
      </c>
      <c r="I540" s="3" t="s">
        <v>3100</v>
      </c>
      <c r="J540" s="3" t="s">
        <v>3100</v>
      </c>
      <c r="K540" s="3" t="s">
        <v>305</v>
      </c>
      <c r="L540" s="3" t="s">
        <v>221</v>
      </c>
    </row>
    <row r="541" spans="1:12">
      <c r="A541" s="3" t="s">
        <v>221</v>
      </c>
      <c r="B541" s="8" t="s">
        <v>2976</v>
      </c>
      <c r="C541" s="7" t="s">
        <v>3101</v>
      </c>
      <c r="D541" s="3" t="s">
        <v>222</v>
      </c>
      <c r="E541" s="3" t="s">
        <v>3102</v>
      </c>
      <c r="F541" s="3" t="s">
        <v>607</v>
      </c>
      <c r="G541" s="3" t="s">
        <v>620</v>
      </c>
      <c r="H541" s="3" t="s">
        <v>1236</v>
      </c>
      <c r="I541" s="3" t="s">
        <v>3103</v>
      </c>
      <c r="J541" s="3" t="s">
        <v>3103</v>
      </c>
      <c r="K541" s="3" t="s">
        <v>305</v>
      </c>
      <c r="L541" s="3" t="s">
        <v>221</v>
      </c>
    </row>
    <row r="542" spans="1:12">
      <c r="A542" s="3" t="s">
        <v>221</v>
      </c>
      <c r="B542" s="8" t="s">
        <v>2976</v>
      </c>
      <c r="C542" s="7" t="s">
        <v>3104</v>
      </c>
      <c r="D542" s="3" t="s">
        <v>222</v>
      </c>
      <c r="E542" s="3" t="s">
        <v>3105</v>
      </c>
      <c r="F542" s="3" t="s">
        <v>449</v>
      </c>
      <c r="G542" s="3" t="s">
        <v>3015</v>
      </c>
      <c r="H542" s="3" t="s">
        <v>3016</v>
      </c>
      <c r="I542" s="3" t="s">
        <v>3104</v>
      </c>
      <c r="J542" s="3" t="s">
        <v>3104</v>
      </c>
      <c r="K542" s="3" t="s">
        <v>1911</v>
      </c>
      <c r="L542" s="3" t="s">
        <v>221</v>
      </c>
    </row>
    <row r="543" spans="1:12">
      <c r="A543" s="3" t="s">
        <v>221</v>
      </c>
      <c r="B543" s="8" t="s">
        <v>2976</v>
      </c>
      <c r="C543" s="7" t="s">
        <v>3106</v>
      </c>
      <c r="D543" s="3" t="s">
        <v>222</v>
      </c>
      <c r="E543" s="3" t="s">
        <v>3107</v>
      </c>
      <c r="F543" s="3"/>
      <c r="G543" s="3" t="s">
        <v>358</v>
      </c>
      <c r="H543" s="3" t="s">
        <v>3108</v>
      </c>
      <c r="I543" s="3" t="s">
        <v>3106</v>
      </c>
      <c r="J543" s="3"/>
      <c r="K543" s="3" t="s">
        <v>3109</v>
      </c>
      <c r="L543" s="3" t="s">
        <v>221</v>
      </c>
    </row>
    <row r="544" spans="1:12">
      <c r="A544" s="3" t="s">
        <v>221</v>
      </c>
      <c r="B544" s="8" t="s">
        <v>2976</v>
      </c>
      <c r="C544" s="7" t="s">
        <v>3110</v>
      </c>
      <c r="D544" s="3" t="s">
        <v>222</v>
      </c>
      <c r="E544" s="3" t="s">
        <v>3111</v>
      </c>
      <c r="F544" s="3"/>
      <c r="G544" s="3" t="s">
        <v>3112</v>
      </c>
      <c r="H544" s="3" t="s">
        <v>3113</v>
      </c>
      <c r="I544" s="3" t="s">
        <v>3110</v>
      </c>
      <c r="J544" s="3"/>
      <c r="K544" s="3" t="s">
        <v>3114</v>
      </c>
      <c r="L544" s="3" t="s">
        <v>221</v>
      </c>
    </row>
    <row r="545" spans="1:12">
      <c r="A545" s="3" t="s">
        <v>221</v>
      </c>
      <c r="B545" s="8" t="s">
        <v>3115</v>
      </c>
      <c r="C545" s="7" t="s">
        <v>3116</v>
      </c>
      <c r="D545" s="3" t="s">
        <v>222</v>
      </c>
      <c r="E545" s="3" t="s">
        <v>3117</v>
      </c>
      <c r="F545" s="3" t="s">
        <v>323</v>
      </c>
      <c r="G545" s="3" t="s">
        <v>3118</v>
      </c>
      <c r="H545" s="3" t="s">
        <v>3119</v>
      </c>
      <c r="I545" s="3" t="s">
        <v>3120</v>
      </c>
      <c r="J545" s="3" t="s">
        <v>3121</v>
      </c>
      <c r="K545" s="3" t="s">
        <v>3122</v>
      </c>
      <c r="L545" s="3" t="s">
        <v>221</v>
      </c>
    </row>
    <row r="546" spans="1:12">
      <c r="A546" s="3" t="s">
        <v>384</v>
      </c>
      <c r="B546" s="8" t="s">
        <v>3115</v>
      </c>
      <c r="C546" s="7" t="s">
        <v>3123</v>
      </c>
      <c r="D546" s="3" t="s">
        <v>792</v>
      </c>
      <c r="E546" s="3" t="s">
        <v>3124</v>
      </c>
      <c r="F546" s="3"/>
      <c r="G546" s="3" t="s">
        <v>3125</v>
      </c>
      <c r="H546" s="3" t="s">
        <v>3126</v>
      </c>
      <c r="I546" s="3" t="s">
        <v>3127</v>
      </c>
      <c r="J546" s="3" t="s">
        <v>3128</v>
      </c>
      <c r="K546" s="3" t="s">
        <v>3129</v>
      </c>
      <c r="L546" s="3" t="s">
        <v>384</v>
      </c>
    </row>
    <row r="547" spans="1:12">
      <c r="A547" s="3" t="s">
        <v>3130</v>
      </c>
      <c r="B547" s="8" t="s">
        <v>3115</v>
      </c>
      <c r="C547" s="7" t="s">
        <v>3131</v>
      </c>
      <c r="D547" s="3" t="s">
        <v>3132</v>
      </c>
      <c r="E547" s="3" t="s">
        <v>3133</v>
      </c>
      <c r="F547" s="3" t="s">
        <v>3134</v>
      </c>
      <c r="G547" s="3" t="s">
        <v>3134</v>
      </c>
      <c r="H547" s="3" t="s">
        <v>3135</v>
      </c>
      <c r="I547" s="3" t="s">
        <v>3136</v>
      </c>
      <c r="J547" s="3" t="s">
        <v>3137</v>
      </c>
      <c r="K547" s="3" t="s">
        <v>3138</v>
      </c>
      <c r="L547" s="3" t="s">
        <v>3130</v>
      </c>
    </row>
    <row r="548" spans="1:12">
      <c r="A548" s="3" t="s">
        <v>866</v>
      </c>
      <c r="B548" s="8" t="s">
        <v>3115</v>
      </c>
      <c r="C548" s="7" t="s">
        <v>3139</v>
      </c>
      <c r="D548" s="3" t="s">
        <v>868</v>
      </c>
      <c r="E548" s="3" t="s">
        <v>3140</v>
      </c>
      <c r="F548" s="3"/>
      <c r="G548" s="3" t="s">
        <v>3141</v>
      </c>
      <c r="H548" s="3" t="s">
        <v>3142</v>
      </c>
      <c r="I548" s="3" t="s">
        <v>3143</v>
      </c>
      <c r="J548" s="3" t="s">
        <v>3144</v>
      </c>
      <c r="K548" s="3" t="s">
        <v>3145</v>
      </c>
      <c r="L548" s="3" t="s">
        <v>866</v>
      </c>
    </row>
    <row r="549" spans="1:12">
      <c r="A549" s="3" t="s">
        <v>384</v>
      </c>
      <c r="B549" s="8" t="s">
        <v>3115</v>
      </c>
      <c r="C549" s="7" t="s">
        <v>3146</v>
      </c>
      <c r="D549" s="3" t="s">
        <v>792</v>
      </c>
      <c r="E549" s="3" t="s">
        <v>3147</v>
      </c>
      <c r="F549" s="3"/>
      <c r="G549" s="3" t="s">
        <v>3148</v>
      </c>
      <c r="H549" s="3" t="s">
        <v>3149</v>
      </c>
      <c r="I549" s="3" t="s">
        <v>3150</v>
      </c>
      <c r="J549" s="3" t="s">
        <v>3151</v>
      </c>
      <c r="K549" s="3" t="s">
        <v>3152</v>
      </c>
      <c r="L549" s="3" t="s">
        <v>384</v>
      </c>
    </row>
    <row r="550" spans="1:12">
      <c r="A550" s="3" t="s">
        <v>384</v>
      </c>
      <c r="B550" s="8" t="s">
        <v>3115</v>
      </c>
      <c r="C550" s="7" t="s">
        <v>3153</v>
      </c>
      <c r="D550" s="3" t="s">
        <v>792</v>
      </c>
      <c r="E550" s="3" t="s">
        <v>3154</v>
      </c>
      <c r="F550" s="3" t="s">
        <v>849</v>
      </c>
      <c r="G550" s="3" t="s">
        <v>3155</v>
      </c>
      <c r="H550" s="3" t="s">
        <v>3156</v>
      </c>
      <c r="I550" s="3" t="s">
        <v>3157</v>
      </c>
      <c r="J550" s="3" t="s">
        <v>3158</v>
      </c>
      <c r="K550" s="3" t="s">
        <v>3159</v>
      </c>
      <c r="L550" s="3" t="s">
        <v>384</v>
      </c>
    </row>
    <row r="551" spans="1:12">
      <c r="A551" s="3" t="s">
        <v>384</v>
      </c>
      <c r="B551" s="8" t="s">
        <v>3115</v>
      </c>
      <c r="C551" s="7" t="s">
        <v>3160</v>
      </c>
      <c r="D551" s="3" t="s">
        <v>792</v>
      </c>
      <c r="E551" s="3" t="s">
        <v>3161</v>
      </c>
      <c r="F551" s="3"/>
      <c r="G551" s="3" t="s">
        <v>3162</v>
      </c>
      <c r="H551" s="3" t="s">
        <v>3163</v>
      </c>
      <c r="I551" s="3" t="s">
        <v>3164</v>
      </c>
      <c r="J551" s="3" t="s">
        <v>3165</v>
      </c>
      <c r="K551" s="3" t="s">
        <v>3166</v>
      </c>
      <c r="L551" s="3" t="s">
        <v>384</v>
      </c>
    </row>
    <row r="552" spans="1:12">
      <c r="A552" s="3" t="s">
        <v>384</v>
      </c>
      <c r="B552" s="8" t="s">
        <v>3115</v>
      </c>
      <c r="C552" s="7" t="s">
        <v>3167</v>
      </c>
      <c r="D552" s="3" t="s">
        <v>792</v>
      </c>
      <c r="E552" s="3" t="s">
        <v>3168</v>
      </c>
      <c r="F552" s="3"/>
      <c r="G552" s="3" t="s">
        <v>3169</v>
      </c>
      <c r="H552" s="3" t="s">
        <v>3170</v>
      </c>
      <c r="I552" s="3" t="s">
        <v>3165</v>
      </c>
      <c r="J552" s="3" t="s">
        <v>3165</v>
      </c>
      <c r="K552" s="3" t="s">
        <v>305</v>
      </c>
      <c r="L552" s="3" t="s">
        <v>384</v>
      </c>
    </row>
    <row r="553" spans="1:12">
      <c r="A553" s="3" t="s">
        <v>866</v>
      </c>
      <c r="B553" s="8" t="s">
        <v>3115</v>
      </c>
      <c r="C553" s="7" t="s">
        <v>3171</v>
      </c>
      <c r="D553" s="3" t="s">
        <v>868</v>
      </c>
      <c r="E553" s="3" t="s">
        <v>3172</v>
      </c>
      <c r="F553" s="3"/>
      <c r="G553" s="3" t="s">
        <v>2142</v>
      </c>
      <c r="H553" s="3" t="s">
        <v>3173</v>
      </c>
      <c r="I553" s="3" t="s">
        <v>3174</v>
      </c>
      <c r="J553" s="3" t="s">
        <v>3175</v>
      </c>
      <c r="K553" s="3" t="s">
        <v>3176</v>
      </c>
      <c r="L553" s="3" t="s">
        <v>866</v>
      </c>
    </row>
    <row r="554" spans="1:12">
      <c r="A554" s="3" t="s">
        <v>1000</v>
      </c>
      <c r="B554" s="8" t="s">
        <v>3115</v>
      </c>
      <c r="C554" s="7" t="s">
        <v>3177</v>
      </c>
      <c r="D554" s="3" t="s">
        <v>1002</v>
      </c>
      <c r="E554" s="3" t="s">
        <v>3178</v>
      </c>
      <c r="F554" s="3"/>
      <c r="G554" s="3" t="s">
        <v>3179</v>
      </c>
      <c r="H554" s="3" t="s">
        <v>3180</v>
      </c>
      <c r="I554" s="3" t="s">
        <v>3181</v>
      </c>
      <c r="J554" s="3" t="s">
        <v>3181</v>
      </c>
      <c r="K554" s="3" t="s">
        <v>3182</v>
      </c>
      <c r="L554" s="3" t="s">
        <v>1000</v>
      </c>
    </row>
    <row r="555" spans="1:12">
      <c r="A555" s="3" t="s">
        <v>384</v>
      </c>
      <c r="B555" s="8" t="s">
        <v>3115</v>
      </c>
      <c r="C555" s="7" t="s">
        <v>3183</v>
      </c>
      <c r="D555" s="3" t="s">
        <v>792</v>
      </c>
      <c r="E555" s="3" t="s">
        <v>3184</v>
      </c>
      <c r="F555" s="3"/>
      <c r="G555" s="3" t="s">
        <v>3185</v>
      </c>
      <c r="H555" s="3" t="s">
        <v>3186</v>
      </c>
      <c r="I555" s="3" t="s">
        <v>3187</v>
      </c>
      <c r="J555" s="3" t="s">
        <v>3188</v>
      </c>
      <c r="K555" s="3" t="s">
        <v>3189</v>
      </c>
      <c r="L555" s="3" t="s">
        <v>384</v>
      </c>
    </row>
    <row r="556" spans="1:12">
      <c r="A556" s="3" t="s">
        <v>221</v>
      </c>
      <c r="B556" s="8" t="s">
        <v>3115</v>
      </c>
      <c r="C556" s="7" t="s">
        <v>3190</v>
      </c>
      <c r="D556" s="3" t="s">
        <v>222</v>
      </c>
      <c r="E556" s="3" t="s">
        <v>3191</v>
      </c>
      <c r="F556" s="3"/>
      <c r="G556" s="3" t="s">
        <v>3192</v>
      </c>
      <c r="H556" s="3" t="s">
        <v>3193</v>
      </c>
      <c r="I556" s="3" t="s">
        <v>3194</v>
      </c>
      <c r="J556" s="3" t="s">
        <v>3195</v>
      </c>
      <c r="K556" s="3" t="s">
        <v>3196</v>
      </c>
      <c r="L556" s="3" t="s">
        <v>221</v>
      </c>
    </row>
    <row r="557" spans="1:12">
      <c r="A557" s="3" t="s">
        <v>384</v>
      </c>
      <c r="B557" s="8" t="s">
        <v>3115</v>
      </c>
      <c r="C557" s="7" t="s">
        <v>3197</v>
      </c>
      <c r="D557" s="3" t="s">
        <v>792</v>
      </c>
      <c r="E557" s="3" t="s">
        <v>3198</v>
      </c>
      <c r="F557" s="3"/>
      <c r="G557" s="3" t="s">
        <v>3199</v>
      </c>
      <c r="H557" s="3" t="s">
        <v>3200</v>
      </c>
      <c r="I557" s="3" t="s">
        <v>3201</v>
      </c>
      <c r="J557" s="3" t="s">
        <v>3202</v>
      </c>
      <c r="K557" s="3" t="s">
        <v>3203</v>
      </c>
      <c r="L557" s="3" t="s">
        <v>384</v>
      </c>
    </row>
    <row r="558" spans="1:12">
      <c r="A558" s="3" t="s">
        <v>221</v>
      </c>
      <c r="B558" s="8" t="s">
        <v>3115</v>
      </c>
      <c r="C558" s="7" t="s">
        <v>3204</v>
      </c>
      <c r="D558" s="3" t="s">
        <v>222</v>
      </c>
      <c r="E558" s="3" t="s">
        <v>3205</v>
      </c>
      <c r="F558" s="3" t="s">
        <v>632</v>
      </c>
      <c r="G558" s="3" t="s">
        <v>3206</v>
      </c>
      <c r="H558" s="3" t="s">
        <v>3207</v>
      </c>
      <c r="I558" s="3" t="s">
        <v>3208</v>
      </c>
      <c r="J558" s="3" t="s">
        <v>3209</v>
      </c>
      <c r="K558" s="3" t="s">
        <v>3210</v>
      </c>
      <c r="L558" s="3" t="s">
        <v>221</v>
      </c>
    </row>
    <row r="559" spans="1:12">
      <c r="A559" s="3" t="s">
        <v>984</v>
      </c>
      <c r="B559" s="8" t="s">
        <v>3115</v>
      </c>
      <c r="C559" s="7" t="s">
        <v>3211</v>
      </c>
      <c r="D559" s="3" t="s">
        <v>986</v>
      </c>
      <c r="E559" s="3" t="s">
        <v>3212</v>
      </c>
      <c r="F559" s="3" t="s">
        <v>3213</v>
      </c>
      <c r="G559" s="3" t="s">
        <v>3214</v>
      </c>
      <c r="H559" s="3" t="s">
        <v>3215</v>
      </c>
      <c r="I559" s="3" t="s">
        <v>3216</v>
      </c>
      <c r="J559" s="3" t="s">
        <v>3217</v>
      </c>
      <c r="K559" s="3" t="s">
        <v>3218</v>
      </c>
      <c r="L559" s="3" t="s">
        <v>984</v>
      </c>
    </row>
    <row r="560" spans="1:12">
      <c r="A560" s="3" t="s">
        <v>384</v>
      </c>
      <c r="B560" s="8" t="s">
        <v>3115</v>
      </c>
      <c r="C560" s="7" t="s">
        <v>3219</v>
      </c>
      <c r="D560" s="3" t="s">
        <v>792</v>
      </c>
      <c r="E560" s="3" t="s">
        <v>3220</v>
      </c>
      <c r="F560" s="3"/>
      <c r="G560" s="3" t="s">
        <v>3221</v>
      </c>
      <c r="H560" s="3" t="s">
        <v>3222</v>
      </c>
      <c r="I560" s="3" t="s">
        <v>3223</v>
      </c>
      <c r="J560" s="3" t="s">
        <v>3224</v>
      </c>
      <c r="K560" s="3" t="s">
        <v>305</v>
      </c>
      <c r="L560" s="3" t="s">
        <v>384</v>
      </c>
    </row>
    <row r="561" spans="1:12">
      <c r="A561" s="3" t="s">
        <v>1930</v>
      </c>
      <c r="B561" s="8" t="s">
        <v>3115</v>
      </c>
      <c r="C561" s="7" t="s">
        <v>3225</v>
      </c>
      <c r="D561" s="3" t="s">
        <v>1932</v>
      </c>
      <c r="E561" s="3" t="s">
        <v>3226</v>
      </c>
      <c r="F561" s="3"/>
      <c r="G561" s="3" t="s">
        <v>3227</v>
      </c>
      <c r="H561" s="3" t="s">
        <v>3228</v>
      </c>
      <c r="I561" s="3" t="s">
        <v>3229</v>
      </c>
      <c r="J561" s="3" t="s">
        <v>3230</v>
      </c>
      <c r="K561" s="3" t="s">
        <v>3231</v>
      </c>
      <c r="L561" s="3" t="s">
        <v>1930</v>
      </c>
    </row>
    <row r="562" spans="1:12">
      <c r="A562" s="3" t="s">
        <v>384</v>
      </c>
      <c r="B562" s="8" t="s">
        <v>3115</v>
      </c>
      <c r="C562" s="7" t="s">
        <v>3232</v>
      </c>
      <c r="D562" s="3" t="s">
        <v>792</v>
      </c>
      <c r="E562" s="3" t="s">
        <v>3233</v>
      </c>
      <c r="F562" s="3"/>
      <c r="G562" s="3" t="s">
        <v>3169</v>
      </c>
      <c r="H562" s="3" t="s">
        <v>3170</v>
      </c>
      <c r="I562" s="3" t="s">
        <v>3234</v>
      </c>
      <c r="J562" s="3" t="s">
        <v>3234</v>
      </c>
      <c r="K562" s="3" t="s">
        <v>1911</v>
      </c>
      <c r="L562" s="3" t="s">
        <v>384</v>
      </c>
    </row>
    <row r="563" spans="1:12">
      <c r="A563" s="3" t="s">
        <v>384</v>
      </c>
      <c r="B563" s="8" t="s">
        <v>3115</v>
      </c>
      <c r="C563" s="7" t="s">
        <v>3235</v>
      </c>
      <c r="D563" s="3" t="s">
        <v>792</v>
      </c>
      <c r="E563" s="3" t="s">
        <v>3236</v>
      </c>
      <c r="F563" s="3"/>
      <c r="G563" s="3" t="s">
        <v>3237</v>
      </c>
      <c r="H563" s="3" t="s">
        <v>3238</v>
      </c>
      <c r="I563" s="3" t="s">
        <v>3234</v>
      </c>
      <c r="J563" s="3" t="s">
        <v>3234</v>
      </c>
      <c r="K563" s="3" t="s">
        <v>1911</v>
      </c>
      <c r="L563" s="3" t="s">
        <v>384</v>
      </c>
    </row>
    <row r="564" spans="1:12">
      <c r="A564" s="3" t="s">
        <v>866</v>
      </c>
      <c r="B564" s="8" t="s">
        <v>3115</v>
      </c>
      <c r="C564" s="7" t="s">
        <v>3239</v>
      </c>
      <c r="D564" s="3" t="s">
        <v>868</v>
      </c>
      <c r="E564" s="3" t="s">
        <v>3140</v>
      </c>
      <c r="F564" s="3"/>
      <c r="G564" s="3" t="s">
        <v>3141</v>
      </c>
      <c r="H564" s="3" t="s">
        <v>3142</v>
      </c>
      <c r="I564" s="3" t="s">
        <v>3143</v>
      </c>
      <c r="J564" s="3" t="s">
        <v>3144</v>
      </c>
      <c r="K564" s="3" t="s">
        <v>3145</v>
      </c>
      <c r="L564" s="3" t="s">
        <v>866</v>
      </c>
    </row>
    <row r="565" spans="1:12">
      <c r="A565" s="3" t="s">
        <v>1000</v>
      </c>
      <c r="B565" s="8" t="s">
        <v>3115</v>
      </c>
      <c r="C565" s="7" t="s">
        <v>3240</v>
      </c>
      <c r="D565" s="3" t="s">
        <v>1002</v>
      </c>
      <c r="E565" s="3" t="s">
        <v>3241</v>
      </c>
      <c r="F565" s="3"/>
      <c r="G565" s="3" t="s">
        <v>3242</v>
      </c>
      <c r="H565" s="3" t="s">
        <v>3243</v>
      </c>
      <c r="I565" s="3" t="s">
        <v>3244</v>
      </c>
      <c r="J565" s="3" t="s">
        <v>3245</v>
      </c>
      <c r="K565" s="3" t="s">
        <v>3246</v>
      </c>
      <c r="L565" s="3" t="s">
        <v>1000</v>
      </c>
    </row>
    <row r="566" spans="1:12">
      <c r="A566" s="3" t="s">
        <v>384</v>
      </c>
      <c r="B566" s="8" t="s">
        <v>3115</v>
      </c>
      <c r="C566" s="7" t="s">
        <v>3247</v>
      </c>
      <c r="D566" s="3" t="s">
        <v>792</v>
      </c>
      <c r="E566" s="3" t="s">
        <v>3248</v>
      </c>
      <c r="F566" s="3"/>
      <c r="G566" s="3" t="s">
        <v>3249</v>
      </c>
      <c r="H566" s="3" t="s">
        <v>3250</v>
      </c>
      <c r="I566" s="3" t="s">
        <v>3251</v>
      </c>
      <c r="J566" s="3" t="s">
        <v>3252</v>
      </c>
      <c r="K566" s="3" t="s">
        <v>3253</v>
      </c>
      <c r="L566" s="3" t="s">
        <v>384</v>
      </c>
    </row>
    <row r="567" spans="1:12">
      <c r="A567" s="3" t="s">
        <v>1930</v>
      </c>
      <c r="B567" s="8" t="s">
        <v>3115</v>
      </c>
      <c r="C567" s="7" t="s">
        <v>3254</v>
      </c>
      <c r="D567" s="3" t="s">
        <v>1932</v>
      </c>
      <c r="E567" s="3" t="s">
        <v>3255</v>
      </c>
      <c r="F567" s="3"/>
      <c r="G567" s="3" t="s">
        <v>3256</v>
      </c>
      <c r="H567" s="3" t="s">
        <v>3142</v>
      </c>
      <c r="I567" s="3" t="s">
        <v>3143</v>
      </c>
      <c r="J567" s="3" t="s">
        <v>3257</v>
      </c>
      <c r="K567" s="3" t="s">
        <v>3145</v>
      </c>
      <c r="L567" s="3" t="s">
        <v>1930</v>
      </c>
    </row>
    <row r="568" spans="1:12">
      <c r="A568" s="3" t="s">
        <v>384</v>
      </c>
      <c r="B568" s="8" t="s">
        <v>3115</v>
      </c>
      <c r="C568" s="7" t="s">
        <v>3258</v>
      </c>
      <c r="D568" s="3" t="s">
        <v>792</v>
      </c>
      <c r="E568" s="3" t="s">
        <v>3259</v>
      </c>
      <c r="F568" s="3"/>
      <c r="G568" s="3" t="s">
        <v>3148</v>
      </c>
      <c r="H568" s="3" t="s">
        <v>3149</v>
      </c>
      <c r="I568" s="3" t="s">
        <v>3260</v>
      </c>
      <c r="J568" s="3"/>
      <c r="K568" s="3" t="s">
        <v>3261</v>
      </c>
      <c r="L568" s="3" t="s">
        <v>384</v>
      </c>
    </row>
    <row r="569" spans="1:12">
      <c r="A569" s="3" t="s">
        <v>1000</v>
      </c>
      <c r="B569" s="8" t="s">
        <v>3115</v>
      </c>
      <c r="C569" s="7" t="s">
        <v>3262</v>
      </c>
      <c r="D569" s="3" t="s">
        <v>1002</v>
      </c>
      <c r="E569" s="3" t="s">
        <v>3263</v>
      </c>
      <c r="F569" s="3"/>
      <c r="G569" s="3" t="s">
        <v>3264</v>
      </c>
      <c r="H569" s="3" t="s">
        <v>3265</v>
      </c>
      <c r="I569" s="3" t="s">
        <v>3266</v>
      </c>
      <c r="J569" s="3" t="s">
        <v>3266</v>
      </c>
      <c r="K569" s="3" t="s">
        <v>3129</v>
      </c>
      <c r="L569" s="3" t="s">
        <v>1000</v>
      </c>
    </row>
    <row r="570" spans="1:12">
      <c r="A570" s="3" t="s">
        <v>221</v>
      </c>
      <c r="B570" s="8" t="s">
        <v>3115</v>
      </c>
      <c r="C570" s="7" t="s">
        <v>3267</v>
      </c>
      <c r="D570" s="3" t="s">
        <v>222</v>
      </c>
      <c r="E570" s="3" t="s">
        <v>3268</v>
      </c>
      <c r="F570" s="3" t="s">
        <v>323</v>
      </c>
      <c r="G570" s="3" t="s">
        <v>3269</v>
      </c>
      <c r="H570" s="3" t="s">
        <v>3270</v>
      </c>
      <c r="I570" s="3" t="s">
        <v>3271</v>
      </c>
      <c r="J570" s="3" t="s">
        <v>3272</v>
      </c>
      <c r="K570" s="3" t="s">
        <v>3273</v>
      </c>
      <c r="L570" s="3" t="s">
        <v>221</v>
      </c>
    </row>
    <row r="571" spans="1:12">
      <c r="A571" s="3" t="s">
        <v>384</v>
      </c>
      <c r="B571" s="8" t="s">
        <v>3274</v>
      </c>
      <c r="C571" s="7" t="s">
        <v>3275</v>
      </c>
      <c r="D571" s="3" t="s">
        <v>792</v>
      </c>
      <c r="E571" s="3" t="s">
        <v>3276</v>
      </c>
      <c r="F571" s="3"/>
      <c r="G571" s="3" t="s">
        <v>3277</v>
      </c>
      <c r="H571" s="3" t="s">
        <v>3278</v>
      </c>
      <c r="I571" s="3" t="s">
        <v>3279</v>
      </c>
      <c r="J571" s="3"/>
      <c r="K571" s="3" t="s">
        <v>3280</v>
      </c>
      <c r="L571" s="3" t="s">
        <v>384</v>
      </c>
    </row>
    <row r="572" spans="1:12">
      <c r="A572" s="3" t="s">
        <v>866</v>
      </c>
      <c r="B572" s="8" t="s">
        <v>3274</v>
      </c>
      <c r="C572" s="7" t="s">
        <v>3281</v>
      </c>
      <c r="D572" s="3" t="s">
        <v>868</v>
      </c>
      <c r="E572" s="3" t="s">
        <v>3282</v>
      </c>
      <c r="F572" s="3"/>
      <c r="G572" s="3" t="s">
        <v>1674</v>
      </c>
      <c r="H572" s="3" t="s">
        <v>3283</v>
      </c>
      <c r="I572" s="3" t="s">
        <v>3284</v>
      </c>
      <c r="J572" s="3"/>
      <c r="K572" s="3" t="s">
        <v>3284</v>
      </c>
      <c r="L572" s="3" t="s">
        <v>866</v>
      </c>
    </row>
    <row r="573" spans="1:12">
      <c r="A573" s="3" t="s">
        <v>866</v>
      </c>
      <c r="B573" s="8" t="s">
        <v>3274</v>
      </c>
      <c r="C573" s="7" t="s">
        <v>3285</v>
      </c>
      <c r="D573" s="3" t="s">
        <v>868</v>
      </c>
      <c r="E573" s="3" t="s">
        <v>3286</v>
      </c>
      <c r="F573" s="3" t="s">
        <v>3287</v>
      </c>
      <c r="G573" s="3" t="s">
        <v>3288</v>
      </c>
      <c r="H573" s="3" t="s">
        <v>3289</v>
      </c>
      <c r="I573" s="3" t="s">
        <v>3290</v>
      </c>
      <c r="J573" s="3"/>
      <c r="K573" s="3" t="s">
        <v>2303</v>
      </c>
      <c r="L573" s="3" t="s">
        <v>866</v>
      </c>
    </row>
    <row r="574" spans="1:12">
      <c r="A574" s="3" t="s">
        <v>866</v>
      </c>
      <c r="B574" s="8" t="s">
        <v>3274</v>
      </c>
      <c r="C574" s="7" t="s">
        <v>3291</v>
      </c>
      <c r="D574" s="3" t="s">
        <v>868</v>
      </c>
      <c r="E574" s="3" t="s">
        <v>3292</v>
      </c>
      <c r="F574" s="3"/>
      <c r="G574" s="3" t="s">
        <v>3287</v>
      </c>
      <c r="H574" s="3" t="s">
        <v>3293</v>
      </c>
      <c r="I574" s="3" t="s">
        <v>3290</v>
      </c>
      <c r="J574" s="3"/>
      <c r="K574" s="3" t="s">
        <v>2303</v>
      </c>
      <c r="L574" s="3" t="s">
        <v>866</v>
      </c>
    </row>
    <row r="575" spans="1:12">
      <c r="A575" s="3" t="s">
        <v>866</v>
      </c>
      <c r="B575" s="8" t="s">
        <v>3274</v>
      </c>
      <c r="C575" s="7" t="s">
        <v>3294</v>
      </c>
      <c r="D575" s="3" t="s">
        <v>868</v>
      </c>
      <c r="E575" s="3" t="s">
        <v>3295</v>
      </c>
      <c r="F575" s="3" t="s">
        <v>896</v>
      </c>
      <c r="G575" s="3" t="s">
        <v>3296</v>
      </c>
      <c r="H575" s="3" t="s">
        <v>3297</v>
      </c>
      <c r="I575" s="3" t="s">
        <v>3290</v>
      </c>
      <c r="J575" s="3"/>
      <c r="K575" s="3" t="s">
        <v>2303</v>
      </c>
      <c r="L575" s="3" t="s">
        <v>866</v>
      </c>
    </row>
    <row r="576" spans="1:12">
      <c r="A576" s="3" t="s">
        <v>866</v>
      </c>
      <c r="B576" s="8" t="s">
        <v>3274</v>
      </c>
      <c r="C576" s="7" t="s">
        <v>3298</v>
      </c>
      <c r="D576" s="3" t="s">
        <v>868</v>
      </c>
      <c r="E576" s="3" t="s">
        <v>3299</v>
      </c>
      <c r="F576" s="3" t="s">
        <v>896</v>
      </c>
      <c r="G576" s="3" t="s">
        <v>3296</v>
      </c>
      <c r="H576" s="3" t="s">
        <v>3300</v>
      </c>
      <c r="I576" s="3" t="s">
        <v>3290</v>
      </c>
      <c r="J576" s="3"/>
      <c r="K576" s="3" t="s">
        <v>2303</v>
      </c>
      <c r="L576" s="3" t="s">
        <v>866</v>
      </c>
    </row>
    <row r="577" spans="1:12">
      <c r="A577" s="3" t="s">
        <v>866</v>
      </c>
      <c r="B577" s="8" t="s">
        <v>3274</v>
      </c>
      <c r="C577" s="7" t="s">
        <v>3301</v>
      </c>
      <c r="D577" s="3" t="s">
        <v>868</v>
      </c>
      <c r="E577" s="3" t="s">
        <v>3302</v>
      </c>
      <c r="F577" s="3" t="s">
        <v>3303</v>
      </c>
      <c r="G577" s="3" t="s">
        <v>3304</v>
      </c>
      <c r="H577" s="3" t="s">
        <v>3305</v>
      </c>
      <c r="I577" s="3" t="s">
        <v>3290</v>
      </c>
      <c r="J577" s="3"/>
      <c r="K577" s="3" t="s">
        <v>2303</v>
      </c>
      <c r="L577" s="3" t="s">
        <v>866</v>
      </c>
    </row>
    <row r="578" spans="1:12">
      <c r="A578" s="3" t="s">
        <v>866</v>
      </c>
      <c r="B578" s="8" t="s">
        <v>3274</v>
      </c>
      <c r="C578" s="7" t="s">
        <v>3306</v>
      </c>
      <c r="D578" s="3" t="s">
        <v>868</v>
      </c>
      <c r="E578" s="3" t="s">
        <v>3307</v>
      </c>
      <c r="F578" s="3" t="s">
        <v>3308</v>
      </c>
      <c r="G578" s="3" t="s">
        <v>3309</v>
      </c>
      <c r="H578" s="3" t="s">
        <v>3310</v>
      </c>
      <c r="I578" s="3" t="s">
        <v>3290</v>
      </c>
      <c r="J578" s="3"/>
      <c r="K578" s="3" t="s">
        <v>2303</v>
      </c>
      <c r="L578" s="3" t="s">
        <v>866</v>
      </c>
    </row>
    <row r="579" spans="1:12">
      <c r="A579" s="3" t="s">
        <v>866</v>
      </c>
      <c r="B579" s="8" t="s">
        <v>3274</v>
      </c>
      <c r="C579" s="7" t="s">
        <v>3311</v>
      </c>
      <c r="D579" s="3" t="s">
        <v>868</v>
      </c>
      <c r="E579" s="3" t="s">
        <v>3312</v>
      </c>
      <c r="F579" s="3" t="s">
        <v>3303</v>
      </c>
      <c r="G579" s="3" t="s">
        <v>3304</v>
      </c>
      <c r="H579" s="3" t="s">
        <v>3313</v>
      </c>
      <c r="I579" s="3" t="s">
        <v>3290</v>
      </c>
      <c r="J579" s="3"/>
      <c r="K579" s="3" t="s">
        <v>2303</v>
      </c>
      <c r="L579" s="3" t="s">
        <v>866</v>
      </c>
    </row>
    <row r="580" spans="1:12">
      <c r="A580" s="3" t="s">
        <v>866</v>
      </c>
      <c r="B580" s="8" t="s">
        <v>3274</v>
      </c>
      <c r="C580" s="7" t="s">
        <v>3314</v>
      </c>
      <c r="D580" s="3" t="s">
        <v>868</v>
      </c>
      <c r="E580" s="3" t="s">
        <v>3315</v>
      </c>
      <c r="F580" s="3" t="s">
        <v>1522</v>
      </c>
      <c r="G580" s="3" t="s">
        <v>3227</v>
      </c>
      <c r="H580" s="3" t="s">
        <v>3316</v>
      </c>
      <c r="I580" s="3" t="s">
        <v>3317</v>
      </c>
      <c r="J580" s="3"/>
      <c r="K580" s="3" t="s">
        <v>2303</v>
      </c>
      <c r="L580" s="3" t="s">
        <v>866</v>
      </c>
    </row>
    <row r="581" spans="1:12">
      <c r="A581" s="3" t="s">
        <v>866</v>
      </c>
      <c r="B581" s="8" t="s">
        <v>3274</v>
      </c>
      <c r="C581" s="7" t="s">
        <v>3318</v>
      </c>
      <c r="D581" s="3" t="s">
        <v>868</v>
      </c>
      <c r="E581" s="3" t="s">
        <v>3319</v>
      </c>
      <c r="F581" s="3"/>
      <c r="G581" s="3" t="s">
        <v>1779</v>
      </c>
      <c r="H581" s="3" t="s">
        <v>3320</v>
      </c>
      <c r="I581" s="3" t="s">
        <v>3317</v>
      </c>
      <c r="J581" s="3"/>
      <c r="K581" s="3" t="s">
        <v>2303</v>
      </c>
      <c r="L581" s="3" t="s">
        <v>866</v>
      </c>
    </row>
    <row r="582" spans="1:12">
      <c r="A582" s="3" t="s">
        <v>866</v>
      </c>
      <c r="B582" s="8" t="s">
        <v>3274</v>
      </c>
      <c r="C582" s="7" t="s">
        <v>3321</v>
      </c>
      <c r="D582" s="3" t="s">
        <v>868</v>
      </c>
      <c r="E582" s="3" t="s">
        <v>3322</v>
      </c>
      <c r="F582" s="3"/>
      <c r="G582" s="3" t="s">
        <v>896</v>
      </c>
      <c r="H582" s="3" t="s">
        <v>3323</v>
      </c>
      <c r="I582" s="3" t="s">
        <v>3317</v>
      </c>
      <c r="J582" s="3"/>
      <c r="K582" s="3" t="s">
        <v>2303</v>
      </c>
      <c r="L582" s="3" t="s">
        <v>866</v>
      </c>
    </row>
    <row r="583" spans="1:12">
      <c r="A583" s="3" t="s">
        <v>866</v>
      </c>
      <c r="B583" s="8" t="s">
        <v>3274</v>
      </c>
      <c r="C583" s="7" t="s">
        <v>3324</v>
      </c>
      <c r="D583" s="3" t="s">
        <v>868</v>
      </c>
      <c r="E583" s="3" t="s">
        <v>3325</v>
      </c>
      <c r="F583" s="3" t="s">
        <v>1779</v>
      </c>
      <c r="G583" s="3" t="s">
        <v>3326</v>
      </c>
      <c r="H583" s="3" t="s">
        <v>3327</v>
      </c>
      <c r="I583" s="3" t="s">
        <v>3328</v>
      </c>
      <c r="J583" s="3"/>
      <c r="K583" s="3" t="s">
        <v>2303</v>
      </c>
      <c r="L583" s="3" t="s">
        <v>866</v>
      </c>
    </row>
    <row r="584" spans="1:12">
      <c r="A584" s="3" t="s">
        <v>866</v>
      </c>
      <c r="B584" s="8" t="s">
        <v>3274</v>
      </c>
      <c r="C584" s="7" t="s">
        <v>3329</v>
      </c>
      <c r="D584" s="3" t="s">
        <v>868</v>
      </c>
      <c r="E584" s="3" t="s">
        <v>3330</v>
      </c>
      <c r="F584" s="3"/>
      <c r="G584" s="3" t="s">
        <v>3331</v>
      </c>
      <c r="H584" s="3" t="s">
        <v>3332</v>
      </c>
      <c r="I584" s="3" t="s">
        <v>3333</v>
      </c>
      <c r="J584" s="3"/>
      <c r="K584" s="3" t="s">
        <v>2303</v>
      </c>
      <c r="L584" s="3" t="s">
        <v>866</v>
      </c>
    </row>
    <row r="585" spans="1:12">
      <c r="A585" s="3" t="s">
        <v>866</v>
      </c>
      <c r="B585" s="8" t="s">
        <v>3274</v>
      </c>
      <c r="C585" s="7" t="s">
        <v>3334</v>
      </c>
      <c r="D585" s="3" t="s">
        <v>868</v>
      </c>
      <c r="E585" s="3" t="s">
        <v>3335</v>
      </c>
      <c r="F585" s="3" t="s">
        <v>1419</v>
      </c>
      <c r="G585" s="3" t="s">
        <v>3336</v>
      </c>
      <c r="H585" s="3" t="s">
        <v>3337</v>
      </c>
      <c r="I585" s="3" t="s">
        <v>3338</v>
      </c>
      <c r="J585" s="3"/>
      <c r="K585" s="3" t="s">
        <v>2303</v>
      </c>
      <c r="L585" s="3" t="s">
        <v>866</v>
      </c>
    </row>
    <row r="586" spans="1:12">
      <c r="A586" s="3" t="s">
        <v>866</v>
      </c>
      <c r="B586" s="8" t="s">
        <v>3274</v>
      </c>
      <c r="C586" s="7" t="s">
        <v>3339</v>
      </c>
      <c r="D586" s="3" t="s">
        <v>868</v>
      </c>
      <c r="E586" s="3" t="s">
        <v>3340</v>
      </c>
      <c r="F586" s="3"/>
      <c r="G586" s="3" t="s">
        <v>3341</v>
      </c>
      <c r="H586" s="3" t="s">
        <v>3342</v>
      </c>
      <c r="I586" s="3" t="s">
        <v>3343</v>
      </c>
      <c r="J586" s="3"/>
      <c r="K586" s="3" t="s">
        <v>2303</v>
      </c>
      <c r="L586" s="3" t="s">
        <v>866</v>
      </c>
    </row>
    <row r="587" spans="1:12">
      <c r="A587" s="3" t="s">
        <v>384</v>
      </c>
      <c r="B587" s="8" t="s">
        <v>3274</v>
      </c>
      <c r="C587" s="7" t="s">
        <v>3344</v>
      </c>
      <c r="D587" s="3" t="s">
        <v>792</v>
      </c>
      <c r="E587" s="3" t="s">
        <v>3345</v>
      </c>
      <c r="F587" s="3"/>
      <c r="G587" s="3" t="s">
        <v>3277</v>
      </c>
      <c r="H587" s="3" t="s">
        <v>3278</v>
      </c>
      <c r="I587" s="3" t="s">
        <v>3346</v>
      </c>
      <c r="J587" s="3" t="s">
        <v>3347</v>
      </c>
      <c r="K587" s="3" t="s">
        <v>3348</v>
      </c>
      <c r="L587" s="3" t="s">
        <v>384</v>
      </c>
    </row>
    <row r="588" spans="1:12">
      <c r="A588" s="3" t="s">
        <v>1000</v>
      </c>
      <c r="B588" s="8" t="s">
        <v>3274</v>
      </c>
      <c r="C588" s="7" t="s">
        <v>3349</v>
      </c>
      <c r="D588" s="3" t="s">
        <v>1002</v>
      </c>
      <c r="E588" s="3" t="s">
        <v>3350</v>
      </c>
      <c r="F588" s="3"/>
      <c r="G588" s="3" t="s">
        <v>3351</v>
      </c>
      <c r="H588" s="3" t="s">
        <v>3352</v>
      </c>
      <c r="I588" s="3" t="s">
        <v>3353</v>
      </c>
      <c r="J588" s="3" t="s">
        <v>3354</v>
      </c>
      <c r="K588" s="3" t="s">
        <v>3182</v>
      </c>
      <c r="L588" s="3" t="s">
        <v>1000</v>
      </c>
    </row>
    <row r="589" spans="1:12">
      <c r="A589" s="3" t="s">
        <v>984</v>
      </c>
      <c r="B589" s="8" t="s">
        <v>3274</v>
      </c>
      <c r="C589" s="7" t="s">
        <v>3355</v>
      </c>
      <c r="D589" s="3" t="s">
        <v>986</v>
      </c>
      <c r="E589" s="3" t="s">
        <v>3350</v>
      </c>
      <c r="F589" s="3"/>
      <c r="G589" s="3" t="s">
        <v>3351</v>
      </c>
      <c r="H589" s="3" t="s">
        <v>3352</v>
      </c>
      <c r="I589" s="3" t="s">
        <v>3353</v>
      </c>
      <c r="J589" s="3" t="s">
        <v>3354</v>
      </c>
      <c r="K589" s="3" t="s">
        <v>3356</v>
      </c>
      <c r="L589" s="3" t="s">
        <v>984</v>
      </c>
    </row>
    <row r="590" spans="1:12">
      <c r="A590" s="3" t="s">
        <v>976</v>
      </c>
      <c r="B590" s="8" t="s">
        <v>3274</v>
      </c>
      <c r="C590" s="7" t="s">
        <v>3357</v>
      </c>
      <c r="D590" s="3" t="s">
        <v>978</v>
      </c>
      <c r="E590" s="3" t="s">
        <v>3350</v>
      </c>
      <c r="F590" s="3"/>
      <c r="G590" s="3" t="s">
        <v>3351</v>
      </c>
      <c r="H590" s="3" t="s">
        <v>3352</v>
      </c>
      <c r="I590" s="3" t="s">
        <v>3353</v>
      </c>
      <c r="J590" s="3" t="s">
        <v>3354</v>
      </c>
      <c r="K590" s="3" t="s">
        <v>3358</v>
      </c>
      <c r="L590" s="3" t="s">
        <v>976</v>
      </c>
    </row>
    <row r="591" spans="1:12">
      <c r="A591" s="3" t="s">
        <v>828</v>
      </c>
      <c r="B591" s="8" t="s">
        <v>3274</v>
      </c>
      <c r="C591" s="7" t="s">
        <v>3359</v>
      </c>
      <c r="D591" s="3" t="s">
        <v>830</v>
      </c>
      <c r="E591" s="3" t="s">
        <v>3360</v>
      </c>
      <c r="F591" s="3"/>
      <c r="G591" s="3" t="s">
        <v>3361</v>
      </c>
      <c r="H591" s="3" t="s">
        <v>833</v>
      </c>
      <c r="I591" s="3" t="s">
        <v>3362</v>
      </c>
      <c r="J591" s="3"/>
      <c r="K591" s="3" t="s">
        <v>305</v>
      </c>
      <c r="L591" s="3" t="s">
        <v>828</v>
      </c>
    </row>
    <row r="592" spans="1:12">
      <c r="A592" s="3" t="s">
        <v>820</v>
      </c>
      <c r="B592" s="8" t="s">
        <v>3274</v>
      </c>
      <c r="C592" s="7" t="s">
        <v>3363</v>
      </c>
      <c r="D592" s="3" t="s">
        <v>822</v>
      </c>
      <c r="E592" s="3" t="s">
        <v>3364</v>
      </c>
      <c r="F592" s="3"/>
      <c r="G592" s="3" t="s">
        <v>3365</v>
      </c>
      <c r="H592" s="3" t="s">
        <v>2463</v>
      </c>
      <c r="I592" s="3" t="s">
        <v>3366</v>
      </c>
      <c r="J592" s="3"/>
      <c r="K592" s="3" t="s">
        <v>305</v>
      </c>
      <c r="L592" s="3" t="s">
        <v>820</v>
      </c>
    </row>
    <row r="593" spans="1:12">
      <c r="A593" s="3" t="s">
        <v>820</v>
      </c>
      <c r="B593" s="8" t="s">
        <v>3274</v>
      </c>
      <c r="C593" s="7" t="s">
        <v>3367</v>
      </c>
      <c r="D593" s="3" t="s">
        <v>822</v>
      </c>
      <c r="E593" s="3" t="s">
        <v>3368</v>
      </c>
      <c r="F593" s="3"/>
      <c r="G593" s="3" t="s">
        <v>3369</v>
      </c>
      <c r="H593" s="3" t="s">
        <v>3370</v>
      </c>
      <c r="I593" s="3" t="s">
        <v>3371</v>
      </c>
      <c r="J593" s="3"/>
      <c r="K593" s="3" t="s">
        <v>305</v>
      </c>
      <c r="L593" s="3" t="s">
        <v>820</v>
      </c>
    </row>
    <row r="594" spans="1:12">
      <c r="A594" s="3" t="s">
        <v>820</v>
      </c>
      <c r="B594" s="8" t="s">
        <v>3274</v>
      </c>
      <c r="C594" s="7" t="s">
        <v>3372</v>
      </c>
      <c r="D594" s="3" t="s">
        <v>822</v>
      </c>
      <c r="E594" s="3" t="s">
        <v>3373</v>
      </c>
      <c r="F594" s="3"/>
      <c r="G594" s="3" t="s">
        <v>3374</v>
      </c>
      <c r="H594" s="3" t="s">
        <v>825</v>
      </c>
      <c r="I594" s="3" t="s">
        <v>3375</v>
      </c>
      <c r="J594" s="3"/>
      <c r="K594" s="3" t="s">
        <v>305</v>
      </c>
      <c r="L594" s="3" t="s">
        <v>820</v>
      </c>
    </row>
    <row r="595" spans="1:12">
      <c r="A595" s="3" t="s">
        <v>820</v>
      </c>
      <c r="B595" s="8" t="s">
        <v>3274</v>
      </c>
      <c r="C595" s="7" t="s">
        <v>3376</v>
      </c>
      <c r="D595" s="3" t="s">
        <v>822</v>
      </c>
      <c r="E595" s="3" t="s">
        <v>3377</v>
      </c>
      <c r="F595" s="3"/>
      <c r="G595" s="3" t="s">
        <v>3378</v>
      </c>
      <c r="H595" s="3" t="s">
        <v>3370</v>
      </c>
      <c r="I595" s="3" t="s">
        <v>3379</v>
      </c>
      <c r="J595" s="3"/>
      <c r="K595" s="3" t="s">
        <v>305</v>
      </c>
      <c r="L595" s="3" t="s">
        <v>820</v>
      </c>
    </row>
    <row r="596" spans="1:12">
      <c r="A596" s="3" t="s">
        <v>828</v>
      </c>
      <c r="B596" s="8" t="s">
        <v>3274</v>
      </c>
      <c r="C596" s="7" t="s">
        <v>3380</v>
      </c>
      <c r="D596" s="3" t="s">
        <v>830</v>
      </c>
      <c r="E596" s="3" t="s">
        <v>3381</v>
      </c>
      <c r="F596" s="3"/>
      <c r="G596" s="3" t="s">
        <v>3382</v>
      </c>
      <c r="H596" s="3" t="s">
        <v>3383</v>
      </c>
      <c r="I596" s="3" t="s">
        <v>3343</v>
      </c>
      <c r="J596" s="3"/>
      <c r="K596" s="3" t="s">
        <v>305</v>
      </c>
      <c r="L596" s="3" t="s">
        <v>828</v>
      </c>
    </row>
    <row r="597" spans="1:12">
      <c r="A597" s="3" t="s">
        <v>866</v>
      </c>
      <c r="B597" s="8" t="s">
        <v>3274</v>
      </c>
      <c r="C597" s="7" t="s">
        <v>3384</v>
      </c>
      <c r="D597" s="3" t="s">
        <v>868</v>
      </c>
      <c r="E597" s="3" t="s">
        <v>246</v>
      </c>
      <c r="F597" s="3"/>
      <c r="G597" s="3" t="s">
        <v>3385</v>
      </c>
      <c r="H597" s="3" t="s">
        <v>3386</v>
      </c>
      <c r="I597" s="3" t="s">
        <v>246</v>
      </c>
      <c r="J597" s="3"/>
      <c r="K597" s="3" t="s">
        <v>1911</v>
      </c>
      <c r="L597" s="3" t="s">
        <v>866</v>
      </c>
    </row>
    <row r="598" spans="1:12">
      <c r="A598" s="3" t="s">
        <v>384</v>
      </c>
      <c r="B598" s="8" t="s">
        <v>3274</v>
      </c>
      <c r="C598" s="7" t="s">
        <v>3387</v>
      </c>
      <c r="D598" s="3" t="s">
        <v>792</v>
      </c>
      <c r="E598" s="3" t="s">
        <v>246</v>
      </c>
      <c r="F598" s="3"/>
      <c r="G598" s="3" t="s">
        <v>3388</v>
      </c>
      <c r="H598" s="3" t="s">
        <v>3389</v>
      </c>
      <c r="I598" s="3" t="s">
        <v>246</v>
      </c>
      <c r="J598" s="3"/>
      <c r="K598" s="3" t="s">
        <v>3390</v>
      </c>
      <c r="L598" s="3" t="s">
        <v>384</v>
      </c>
    </row>
    <row r="599" spans="1:12">
      <c r="A599" s="3" t="s">
        <v>1000</v>
      </c>
      <c r="B599" s="8" t="s">
        <v>3274</v>
      </c>
      <c r="C599" s="7" t="s">
        <v>3391</v>
      </c>
      <c r="D599" s="3" t="s">
        <v>1002</v>
      </c>
      <c r="E599" s="3" t="s">
        <v>246</v>
      </c>
      <c r="F599" s="3"/>
      <c r="G599" s="3" t="s">
        <v>3351</v>
      </c>
      <c r="H599" s="3" t="s">
        <v>3352</v>
      </c>
      <c r="I599" s="3" t="s">
        <v>246</v>
      </c>
      <c r="J599" s="3"/>
      <c r="K599" s="3" t="s">
        <v>2524</v>
      </c>
      <c r="L599" s="3" t="s">
        <v>1000</v>
      </c>
    </row>
    <row r="600" spans="1:12">
      <c r="A600" s="3" t="s">
        <v>984</v>
      </c>
      <c r="B600" s="8" t="s">
        <v>3274</v>
      </c>
      <c r="C600" s="7" t="s">
        <v>3392</v>
      </c>
      <c r="D600" s="3" t="s">
        <v>986</v>
      </c>
      <c r="E600" s="3" t="s">
        <v>246</v>
      </c>
      <c r="F600" s="3"/>
      <c r="G600" s="3" t="s">
        <v>3351</v>
      </c>
      <c r="H600" s="3" t="s">
        <v>3352</v>
      </c>
      <c r="I600" s="3" t="s">
        <v>246</v>
      </c>
      <c r="J600" s="3"/>
      <c r="K600" s="3" t="s">
        <v>1911</v>
      </c>
      <c r="L600" s="3" t="s">
        <v>984</v>
      </c>
    </row>
    <row r="601" spans="1:12">
      <c r="A601" s="3" t="s">
        <v>976</v>
      </c>
      <c r="B601" s="8" t="s">
        <v>3274</v>
      </c>
      <c r="C601" s="7" t="s">
        <v>3393</v>
      </c>
      <c r="D601" s="3" t="s">
        <v>978</v>
      </c>
      <c r="E601" s="3" t="s">
        <v>246</v>
      </c>
      <c r="F601" s="3"/>
      <c r="G601" s="3" t="s">
        <v>3351</v>
      </c>
      <c r="H601" s="3" t="s">
        <v>3352</v>
      </c>
      <c r="I601" s="3" t="s">
        <v>246</v>
      </c>
      <c r="J601" s="3"/>
      <c r="K601" s="3" t="s">
        <v>2629</v>
      </c>
      <c r="L601" s="3" t="s">
        <v>976</v>
      </c>
    </row>
    <row r="602" spans="1:12">
      <c r="A602" s="3" t="s">
        <v>221</v>
      </c>
      <c r="B602" s="8" t="s">
        <v>3274</v>
      </c>
      <c r="C602" s="7" t="s">
        <v>3394</v>
      </c>
      <c r="D602" s="3" t="s">
        <v>222</v>
      </c>
      <c r="E602" s="3" t="s">
        <v>3395</v>
      </c>
      <c r="F602" s="3" t="s">
        <v>323</v>
      </c>
      <c r="G602" s="3" t="s">
        <v>2768</v>
      </c>
      <c r="H602" s="3" t="s">
        <v>2769</v>
      </c>
      <c r="I602" s="3" t="s">
        <v>246</v>
      </c>
      <c r="J602" s="3" t="s">
        <v>246</v>
      </c>
      <c r="K602" s="3" t="s">
        <v>305</v>
      </c>
      <c r="L602" s="3" t="s">
        <v>221</v>
      </c>
    </row>
    <row r="603" spans="1:12">
      <c r="A603" s="3" t="s">
        <v>221</v>
      </c>
      <c r="B603" s="8" t="s">
        <v>3274</v>
      </c>
      <c r="C603" s="7" t="s">
        <v>3396</v>
      </c>
      <c r="D603" s="3" t="s">
        <v>222</v>
      </c>
      <c r="E603" s="3" t="s">
        <v>3397</v>
      </c>
      <c r="F603" s="3" t="s">
        <v>715</v>
      </c>
      <c r="G603" s="3" t="s">
        <v>3398</v>
      </c>
      <c r="H603" s="3" t="s">
        <v>3399</v>
      </c>
      <c r="I603" s="3" t="s">
        <v>3396</v>
      </c>
      <c r="J603" s="3"/>
      <c r="K603" s="3" t="s">
        <v>2303</v>
      </c>
      <c r="L603" s="3" t="s">
        <v>221</v>
      </c>
    </row>
    <row r="604" spans="1:12">
      <c r="A604" s="3" t="s">
        <v>221</v>
      </c>
      <c r="B604" s="8" t="s">
        <v>3274</v>
      </c>
      <c r="C604" s="7" t="s">
        <v>3400</v>
      </c>
      <c r="D604" s="3" t="s">
        <v>222</v>
      </c>
      <c r="E604" s="3" t="s">
        <v>3401</v>
      </c>
      <c r="F604" s="3" t="s">
        <v>715</v>
      </c>
      <c r="G604" s="3" t="s">
        <v>3398</v>
      </c>
      <c r="H604" s="3" t="s">
        <v>3399</v>
      </c>
      <c r="I604" s="3" t="s">
        <v>3400</v>
      </c>
      <c r="J604" s="3"/>
      <c r="K604" s="3" t="s">
        <v>2303</v>
      </c>
      <c r="L604" s="3" t="s">
        <v>221</v>
      </c>
    </row>
    <row r="605" spans="1:12">
      <c r="A605" s="3" t="s">
        <v>221</v>
      </c>
      <c r="B605" s="8" t="s">
        <v>3274</v>
      </c>
      <c r="C605" s="7" t="s">
        <v>3402</v>
      </c>
      <c r="D605" s="3" t="s">
        <v>222</v>
      </c>
      <c r="E605" s="3" t="s">
        <v>3403</v>
      </c>
      <c r="F605" s="3" t="s">
        <v>715</v>
      </c>
      <c r="G605" s="3" t="s">
        <v>3404</v>
      </c>
      <c r="H605" s="3" t="s">
        <v>3405</v>
      </c>
      <c r="I605" s="3" t="s">
        <v>3402</v>
      </c>
      <c r="J605" s="3"/>
      <c r="K605" s="3" t="s">
        <v>2303</v>
      </c>
      <c r="L605" s="3" t="s">
        <v>221</v>
      </c>
    </row>
    <row r="606" spans="1:12">
      <c r="A606" s="3" t="s">
        <v>221</v>
      </c>
      <c r="B606" s="8" t="s">
        <v>3274</v>
      </c>
      <c r="C606" s="7" t="s">
        <v>3406</v>
      </c>
      <c r="D606" s="3" t="s">
        <v>222</v>
      </c>
      <c r="E606" s="3" t="s">
        <v>3407</v>
      </c>
      <c r="F606" s="3" t="s">
        <v>715</v>
      </c>
      <c r="G606" s="3" t="s">
        <v>3408</v>
      </c>
      <c r="H606" s="3" t="s">
        <v>3409</v>
      </c>
      <c r="I606" s="3" t="s">
        <v>3406</v>
      </c>
      <c r="J606" s="3"/>
      <c r="K606" s="3" t="s">
        <v>2303</v>
      </c>
      <c r="L606" s="3" t="s">
        <v>221</v>
      </c>
    </row>
    <row r="607" spans="1:12">
      <c r="A607" s="3" t="s">
        <v>221</v>
      </c>
      <c r="B607" s="8" t="s">
        <v>3274</v>
      </c>
      <c r="C607" s="7" t="s">
        <v>3410</v>
      </c>
      <c r="D607" s="3" t="s">
        <v>222</v>
      </c>
      <c r="E607" s="3" t="s">
        <v>3411</v>
      </c>
      <c r="F607" s="3" t="s">
        <v>715</v>
      </c>
      <c r="G607" s="3" t="s">
        <v>3412</v>
      </c>
      <c r="H607" s="3" t="s">
        <v>3413</v>
      </c>
      <c r="I607" s="3" t="s">
        <v>3410</v>
      </c>
      <c r="J607" s="3"/>
      <c r="K607" s="3" t="s">
        <v>1911</v>
      </c>
      <c r="L607" s="3" t="s">
        <v>221</v>
      </c>
    </row>
    <row r="608" spans="1:12">
      <c r="A608" s="3" t="s">
        <v>221</v>
      </c>
      <c r="B608" s="8" t="s">
        <v>3274</v>
      </c>
      <c r="C608" s="7" t="s">
        <v>3414</v>
      </c>
      <c r="D608" s="3" t="s">
        <v>222</v>
      </c>
      <c r="E608" s="3" t="s">
        <v>3415</v>
      </c>
      <c r="F608" s="3" t="s">
        <v>715</v>
      </c>
      <c r="G608" s="3" t="s">
        <v>3412</v>
      </c>
      <c r="H608" s="3" t="s">
        <v>3416</v>
      </c>
      <c r="I608" s="3" t="s">
        <v>3414</v>
      </c>
      <c r="J608" s="3"/>
      <c r="K608" s="3" t="s">
        <v>1911</v>
      </c>
      <c r="L608" s="3" t="s">
        <v>221</v>
      </c>
    </row>
    <row r="609" spans="1:12">
      <c r="A609" s="3" t="s">
        <v>384</v>
      </c>
      <c r="B609" s="8" t="s">
        <v>3274</v>
      </c>
      <c r="C609" s="7" t="s">
        <v>3417</v>
      </c>
      <c r="D609" s="3" t="s">
        <v>792</v>
      </c>
      <c r="E609" s="3" t="s">
        <v>3418</v>
      </c>
      <c r="F609" s="3"/>
      <c r="G609" s="3" t="s">
        <v>3148</v>
      </c>
      <c r="H609" s="3" t="s">
        <v>3149</v>
      </c>
      <c r="I609" s="3" t="s">
        <v>3419</v>
      </c>
      <c r="J609" s="3"/>
      <c r="K609" s="3" t="s">
        <v>3261</v>
      </c>
      <c r="L609" s="3" t="s">
        <v>384</v>
      </c>
    </row>
    <row r="610" spans="1:12">
      <c r="A610" s="3" t="s">
        <v>384</v>
      </c>
      <c r="B610" s="8" t="s">
        <v>3274</v>
      </c>
      <c r="C610" s="7" t="s">
        <v>3420</v>
      </c>
      <c r="D610" s="3" t="s">
        <v>792</v>
      </c>
      <c r="E610" s="3" t="s">
        <v>3421</v>
      </c>
      <c r="F610" s="3"/>
      <c r="G610" s="3" t="s">
        <v>3422</v>
      </c>
      <c r="H610" s="3" t="s">
        <v>3423</v>
      </c>
      <c r="I610" s="3" t="s">
        <v>3343</v>
      </c>
      <c r="J610" s="3"/>
      <c r="K610" s="3" t="s">
        <v>874</v>
      </c>
      <c r="L610" s="3" t="s">
        <v>384</v>
      </c>
    </row>
    <row r="611" spans="1:12">
      <c r="A611" s="3" t="s">
        <v>384</v>
      </c>
      <c r="B611" s="8" t="s">
        <v>3274</v>
      </c>
      <c r="C611" s="7" t="s">
        <v>3424</v>
      </c>
      <c r="D611" s="3" t="s">
        <v>792</v>
      </c>
      <c r="E611" s="3" t="s">
        <v>3425</v>
      </c>
      <c r="F611" s="3"/>
      <c r="G611" s="3" t="s">
        <v>3426</v>
      </c>
      <c r="H611" s="3" t="s">
        <v>3427</v>
      </c>
      <c r="I611" s="3" t="s">
        <v>3343</v>
      </c>
      <c r="J611" s="3"/>
      <c r="K611" s="3" t="s">
        <v>874</v>
      </c>
      <c r="L611" s="3" t="s">
        <v>384</v>
      </c>
    </row>
    <row r="612" spans="1:12">
      <c r="A612" s="3" t="s">
        <v>384</v>
      </c>
      <c r="B612" s="8" t="s">
        <v>3274</v>
      </c>
      <c r="C612" s="7" t="s">
        <v>3428</v>
      </c>
      <c r="D612" s="3" t="s">
        <v>792</v>
      </c>
      <c r="E612" s="3" t="s">
        <v>3429</v>
      </c>
      <c r="F612" s="3"/>
      <c r="G612" s="3" t="s">
        <v>3430</v>
      </c>
      <c r="H612" s="3" t="s">
        <v>3431</v>
      </c>
      <c r="I612" s="3" t="s">
        <v>3432</v>
      </c>
      <c r="J612" s="3"/>
      <c r="K612" s="3" t="s">
        <v>874</v>
      </c>
      <c r="L612" s="3" t="s">
        <v>384</v>
      </c>
    </row>
    <row r="613" spans="1:12">
      <c r="A613" s="3" t="s">
        <v>384</v>
      </c>
      <c r="B613" s="8" t="s">
        <v>3274</v>
      </c>
      <c r="C613" s="7" t="s">
        <v>3433</v>
      </c>
      <c r="D613" s="3" t="s">
        <v>792</v>
      </c>
      <c r="E613" s="3" t="s">
        <v>3434</v>
      </c>
      <c r="F613" s="3"/>
      <c r="G613" s="3" t="s">
        <v>3435</v>
      </c>
      <c r="H613" s="3" t="s">
        <v>3436</v>
      </c>
      <c r="I613" s="3" t="s">
        <v>3437</v>
      </c>
      <c r="J613" s="3"/>
      <c r="K613" s="3" t="s">
        <v>874</v>
      </c>
      <c r="L613" s="3" t="s">
        <v>384</v>
      </c>
    </row>
    <row r="614" spans="1:12">
      <c r="A614" s="3" t="s">
        <v>384</v>
      </c>
      <c r="B614" s="8" t="s">
        <v>3274</v>
      </c>
      <c r="C614" s="7" t="s">
        <v>3438</v>
      </c>
      <c r="D614" s="3" t="s">
        <v>792</v>
      </c>
      <c r="E614" s="3" t="s">
        <v>3439</v>
      </c>
      <c r="F614" s="3"/>
      <c r="G614" s="3" t="s">
        <v>3162</v>
      </c>
      <c r="H614" s="3" t="s">
        <v>3163</v>
      </c>
      <c r="I614" s="3" t="s">
        <v>3440</v>
      </c>
      <c r="J614" s="3"/>
      <c r="K614" s="3" t="s">
        <v>874</v>
      </c>
      <c r="L614" s="3" t="s">
        <v>384</v>
      </c>
    </row>
    <row r="615" spans="1:12">
      <c r="A615" s="3" t="s">
        <v>384</v>
      </c>
      <c r="B615" s="8" t="s">
        <v>3274</v>
      </c>
      <c r="C615" s="7" t="s">
        <v>3441</v>
      </c>
      <c r="D615" s="3" t="s">
        <v>792</v>
      </c>
      <c r="E615" s="3" t="s">
        <v>3442</v>
      </c>
      <c r="F615" s="3"/>
      <c r="G615" s="3" t="s">
        <v>3443</v>
      </c>
      <c r="H615" s="3" t="s">
        <v>3444</v>
      </c>
      <c r="I615" s="3" t="s">
        <v>3445</v>
      </c>
      <c r="J615" s="3"/>
      <c r="K615" s="3" t="s">
        <v>874</v>
      </c>
      <c r="L615" s="3" t="s">
        <v>384</v>
      </c>
    </row>
    <row r="616" spans="1:12">
      <c r="A616" s="3" t="s">
        <v>384</v>
      </c>
      <c r="B616" s="8" t="s">
        <v>3274</v>
      </c>
      <c r="C616" s="7" t="s">
        <v>3446</v>
      </c>
      <c r="D616" s="3" t="s">
        <v>792</v>
      </c>
      <c r="E616" s="3" t="s">
        <v>3447</v>
      </c>
      <c r="F616" s="3"/>
      <c r="G616" s="3" t="s">
        <v>850</v>
      </c>
      <c r="H616" s="3" t="s">
        <v>851</v>
      </c>
      <c r="I616" s="3" t="s">
        <v>3448</v>
      </c>
      <c r="J616" s="3"/>
      <c r="K616" s="3" t="s">
        <v>874</v>
      </c>
      <c r="L616" s="3" t="s">
        <v>384</v>
      </c>
    </row>
    <row r="617" spans="1:12">
      <c r="A617" s="3" t="s">
        <v>828</v>
      </c>
      <c r="B617" s="8" t="s">
        <v>3274</v>
      </c>
      <c r="C617" s="7" t="s">
        <v>3449</v>
      </c>
      <c r="D617" s="3" t="s">
        <v>830</v>
      </c>
      <c r="E617" s="3" t="s">
        <v>3450</v>
      </c>
      <c r="F617" s="3"/>
      <c r="G617" s="3" t="s">
        <v>3451</v>
      </c>
      <c r="H617" s="3" t="s">
        <v>3452</v>
      </c>
      <c r="I617" s="3" t="s">
        <v>3453</v>
      </c>
      <c r="J617" s="3"/>
      <c r="K617" s="3" t="s">
        <v>874</v>
      </c>
      <c r="L617" s="3" t="s">
        <v>828</v>
      </c>
    </row>
    <row r="618" spans="1:12">
      <c r="A618" s="3" t="s">
        <v>820</v>
      </c>
      <c r="B618" s="8" t="s">
        <v>3274</v>
      </c>
      <c r="C618" s="7" t="s">
        <v>3454</v>
      </c>
      <c r="D618" s="3" t="s">
        <v>822</v>
      </c>
      <c r="E618" s="3" t="s">
        <v>3455</v>
      </c>
      <c r="F618" s="3"/>
      <c r="G618" s="3" t="s">
        <v>3456</v>
      </c>
      <c r="H618" s="3" t="s">
        <v>3457</v>
      </c>
      <c r="I618" s="3" t="s">
        <v>3458</v>
      </c>
      <c r="J618" s="3"/>
      <c r="K618" s="3" t="s">
        <v>874</v>
      </c>
      <c r="L618" s="3" t="s">
        <v>820</v>
      </c>
    </row>
    <row r="619" spans="1:12">
      <c r="A619" s="3" t="s">
        <v>820</v>
      </c>
      <c r="B619" s="8" t="s">
        <v>3274</v>
      </c>
      <c r="C619" s="7" t="s">
        <v>3459</v>
      </c>
      <c r="D619" s="3" t="s">
        <v>822</v>
      </c>
      <c r="E619" s="3" t="s">
        <v>3460</v>
      </c>
      <c r="F619" s="3"/>
      <c r="G619" s="3" t="s">
        <v>3461</v>
      </c>
      <c r="H619" s="3" t="s">
        <v>3457</v>
      </c>
      <c r="I619" s="3" t="s">
        <v>3462</v>
      </c>
      <c r="J619" s="3"/>
      <c r="K619" s="3" t="s">
        <v>874</v>
      </c>
      <c r="L619" s="3" t="s">
        <v>820</v>
      </c>
    </row>
    <row r="620" spans="1:12">
      <c r="A620" s="3" t="s">
        <v>820</v>
      </c>
      <c r="B620" s="8" t="s">
        <v>3274</v>
      </c>
      <c r="C620" s="7" t="s">
        <v>3463</v>
      </c>
      <c r="D620" s="3" t="s">
        <v>822</v>
      </c>
      <c r="E620" s="3" t="s">
        <v>3464</v>
      </c>
      <c r="F620" s="3"/>
      <c r="G620" s="3" t="s">
        <v>3465</v>
      </c>
      <c r="H620" s="3" t="s">
        <v>3457</v>
      </c>
      <c r="I620" s="3" t="s">
        <v>3466</v>
      </c>
      <c r="J620" s="3"/>
      <c r="K620" s="3" t="s">
        <v>874</v>
      </c>
      <c r="L620" s="3" t="s">
        <v>820</v>
      </c>
    </row>
    <row r="621" spans="1:12">
      <c r="A621" s="3" t="s">
        <v>820</v>
      </c>
      <c r="B621" s="8" t="s">
        <v>3274</v>
      </c>
      <c r="C621" s="7" t="s">
        <v>3467</v>
      </c>
      <c r="D621" s="3" t="s">
        <v>822</v>
      </c>
      <c r="E621" s="3" t="s">
        <v>3468</v>
      </c>
      <c r="F621" s="3"/>
      <c r="G621" s="3" t="s">
        <v>3456</v>
      </c>
      <c r="H621" s="3" t="s">
        <v>3457</v>
      </c>
      <c r="I621" s="3" t="s">
        <v>3469</v>
      </c>
      <c r="J621" s="3"/>
      <c r="K621" s="3" t="s">
        <v>874</v>
      </c>
      <c r="L621" s="3" t="s">
        <v>820</v>
      </c>
    </row>
    <row r="622" spans="1:12">
      <c r="A622" s="3" t="s">
        <v>820</v>
      </c>
      <c r="B622" s="8" t="s">
        <v>3274</v>
      </c>
      <c r="C622" s="7" t="s">
        <v>3470</v>
      </c>
      <c r="D622" s="3" t="s">
        <v>822</v>
      </c>
      <c r="E622" s="3" t="s">
        <v>3471</v>
      </c>
      <c r="F622" s="3"/>
      <c r="G622" s="3" t="s">
        <v>3456</v>
      </c>
      <c r="H622" s="3" t="s">
        <v>3457</v>
      </c>
      <c r="I622" s="3" t="s">
        <v>3472</v>
      </c>
      <c r="J622" s="3"/>
      <c r="K622" s="3" t="s">
        <v>874</v>
      </c>
      <c r="L622" s="3" t="s">
        <v>820</v>
      </c>
    </row>
    <row r="623" spans="1:12">
      <c r="A623" s="3" t="s">
        <v>820</v>
      </c>
      <c r="B623" s="8" t="s">
        <v>3274</v>
      </c>
      <c r="C623" s="7" t="s">
        <v>3473</v>
      </c>
      <c r="D623" s="3" t="s">
        <v>822</v>
      </c>
      <c r="E623" s="3" t="s">
        <v>3474</v>
      </c>
      <c r="F623" s="3"/>
      <c r="G623" s="3" t="s">
        <v>3475</v>
      </c>
      <c r="H623" s="3" t="s">
        <v>3457</v>
      </c>
      <c r="I623" s="3" t="s">
        <v>3476</v>
      </c>
      <c r="J623" s="3"/>
      <c r="K623" s="3" t="s">
        <v>874</v>
      </c>
      <c r="L623" s="3" t="s">
        <v>820</v>
      </c>
    </row>
    <row r="624" spans="1:12">
      <c r="A624" s="3" t="s">
        <v>820</v>
      </c>
      <c r="B624" s="8" t="s">
        <v>3274</v>
      </c>
      <c r="C624" s="7" t="s">
        <v>3477</v>
      </c>
      <c r="D624" s="3" t="s">
        <v>822</v>
      </c>
      <c r="E624" s="3" t="s">
        <v>3478</v>
      </c>
      <c r="F624" s="3"/>
      <c r="G624" s="3" t="s">
        <v>3475</v>
      </c>
      <c r="H624" s="3" t="s">
        <v>3457</v>
      </c>
      <c r="I624" s="3" t="s">
        <v>3479</v>
      </c>
      <c r="J624" s="3"/>
      <c r="K624" s="3" t="s">
        <v>874</v>
      </c>
      <c r="L624" s="3" t="s">
        <v>820</v>
      </c>
    </row>
    <row r="625" spans="1:12">
      <c r="A625" s="3" t="s">
        <v>820</v>
      </c>
      <c r="B625" s="8" t="s">
        <v>3274</v>
      </c>
      <c r="C625" s="7" t="s">
        <v>3480</v>
      </c>
      <c r="D625" s="3" t="s">
        <v>822</v>
      </c>
      <c r="E625" s="3" t="s">
        <v>3481</v>
      </c>
      <c r="F625" s="3"/>
      <c r="G625" s="3" t="s">
        <v>3482</v>
      </c>
      <c r="H625" s="3" t="s">
        <v>3457</v>
      </c>
      <c r="I625" s="3" t="s">
        <v>3483</v>
      </c>
      <c r="J625" s="3"/>
      <c r="K625" s="3" t="s">
        <v>874</v>
      </c>
      <c r="L625" s="3" t="s">
        <v>820</v>
      </c>
    </row>
    <row r="626" spans="1:12">
      <c r="A626" s="3" t="s">
        <v>1000</v>
      </c>
      <c r="B626" s="8" t="s">
        <v>3274</v>
      </c>
      <c r="C626" s="7" t="s">
        <v>3484</v>
      </c>
      <c r="D626" s="3" t="s">
        <v>1002</v>
      </c>
      <c r="E626" s="3" t="s">
        <v>3485</v>
      </c>
      <c r="F626" s="3"/>
      <c r="G626" s="3" t="s">
        <v>3486</v>
      </c>
      <c r="H626" s="3" t="s">
        <v>3487</v>
      </c>
      <c r="I626" s="3" t="s">
        <v>3488</v>
      </c>
      <c r="J626" s="3"/>
      <c r="K626" s="3" t="s">
        <v>874</v>
      </c>
      <c r="L626" s="3" t="s">
        <v>1000</v>
      </c>
    </row>
    <row r="627" spans="1:12">
      <c r="A627" s="3" t="s">
        <v>1000</v>
      </c>
      <c r="B627" s="8" t="s">
        <v>3274</v>
      </c>
      <c r="C627" s="7" t="s">
        <v>3489</v>
      </c>
      <c r="D627" s="3" t="s">
        <v>1002</v>
      </c>
      <c r="E627" s="3" t="s">
        <v>3490</v>
      </c>
      <c r="F627" s="3"/>
      <c r="G627" s="3" t="s">
        <v>3491</v>
      </c>
      <c r="H627" s="3" t="s">
        <v>3492</v>
      </c>
      <c r="I627" s="3" t="s">
        <v>3493</v>
      </c>
      <c r="J627" s="3"/>
      <c r="K627" s="3" t="s">
        <v>874</v>
      </c>
      <c r="L627" s="3" t="s">
        <v>1000</v>
      </c>
    </row>
    <row r="628" spans="1:12">
      <c r="A628" s="3" t="s">
        <v>3494</v>
      </c>
      <c r="B628" s="8" t="s">
        <v>3495</v>
      </c>
      <c r="C628" s="7" t="s">
        <v>3496</v>
      </c>
      <c r="D628" s="3" t="s">
        <v>3497</v>
      </c>
      <c r="E628" s="3" t="s">
        <v>3498</v>
      </c>
      <c r="F628" s="3"/>
      <c r="G628" s="3" t="s">
        <v>246</v>
      </c>
      <c r="H628" s="3" t="s">
        <v>246</v>
      </c>
      <c r="I628" s="3" t="s">
        <v>246</v>
      </c>
      <c r="J628" s="3" t="s">
        <v>3499</v>
      </c>
      <c r="K628" s="3" t="s">
        <v>305</v>
      </c>
      <c r="L628" s="3" t="s">
        <v>3494</v>
      </c>
    </row>
    <row r="629" spans="1:12">
      <c r="A629" s="3" t="s">
        <v>384</v>
      </c>
      <c r="B629" s="8" t="s">
        <v>3495</v>
      </c>
      <c r="C629" s="7" t="s">
        <v>3500</v>
      </c>
      <c r="D629" s="3" t="s">
        <v>792</v>
      </c>
      <c r="E629" s="3" t="s">
        <v>3501</v>
      </c>
      <c r="F629" s="3" t="s">
        <v>3502</v>
      </c>
      <c r="G629" s="3" t="s">
        <v>3503</v>
      </c>
      <c r="H629" s="3" t="s">
        <v>3504</v>
      </c>
      <c r="I629" s="3" t="s">
        <v>3346</v>
      </c>
      <c r="J629" s="3" t="s">
        <v>3347</v>
      </c>
      <c r="K629" s="3" t="s">
        <v>3348</v>
      </c>
      <c r="L629" s="3" t="s">
        <v>384</v>
      </c>
    </row>
    <row r="630" spans="2:2">
      <c r="B630" s="8" t="s">
        <v>3495</v>
      </c>
    </row>
  </sheetData>
  <sheetProtection algorithmName="SHA-512" hashValue="onFdK+H1+eeKaJ7aAeNcxVQYBqIZqWvm+4n85Uh77OVzhXBFAEc3Iu8NLcmmDYtUPpsbZA2cEa7d8zgvPorhpg==" saltValue="O4gRd7foSq8q7A8GixXQlQ==" spinCount="100000" sheet="1" objects="1"/>
  <pageMargins left="0.75" right="0.75" top="1" bottom="1" header="0.5" footer="0.5"/>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192"/>
  <sheetViews>
    <sheetView workbookViewId="0">
      <selection activeCell="A1" sqref="A1"/>
    </sheetView>
  </sheetViews>
  <sheetFormatPr defaultColWidth="9.16666666666667" defaultRowHeight="14.25" outlineLevelCol="2"/>
  <cols>
    <col min="1" max="1" width="36.2083333333333" style="1" customWidth="1"/>
    <col min="2" max="2" width="46" style="1" customWidth="1"/>
  </cols>
  <sheetData>
    <row r="1" spans="1:3">
      <c r="A1" s="2" t="s">
        <v>3505</v>
      </c>
      <c r="B1" s="2" t="s">
        <v>3506</v>
      </c>
      <c r="C1" s="2" t="s">
        <v>3507</v>
      </c>
    </row>
    <row r="2" spans="1:3">
      <c r="A2" s="3" t="s">
        <v>3508</v>
      </c>
      <c r="B2" s="3" t="s">
        <v>3509</v>
      </c>
      <c r="C2" s="3" t="s">
        <v>3510</v>
      </c>
    </row>
    <row r="3" spans="1:3">
      <c r="A3" s="3" t="s">
        <v>3511</v>
      </c>
      <c r="B3" s="3" t="s">
        <v>3512</v>
      </c>
      <c r="C3" s="3" t="s">
        <v>3510</v>
      </c>
    </row>
    <row r="4" spans="1:3">
      <c r="A4" s="3" t="s">
        <v>3513</v>
      </c>
      <c r="B4" s="3" t="s">
        <v>3514</v>
      </c>
      <c r="C4" s="3" t="s">
        <v>3510</v>
      </c>
    </row>
    <row r="5" spans="1:3">
      <c r="A5" s="3" t="s">
        <v>3515</v>
      </c>
      <c r="B5" s="3" t="s">
        <v>3516</v>
      </c>
      <c r="C5" s="3" t="s">
        <v>3517</v>
      </c>
    </row>
    <row r="6" spans="1:3">
      <c r="A6" s="3" t="s">
        <v>3518</v>
      </c>
      <c r="B6" s="3" t="s">
        <v>3519</v>
      </c>
      <c r="C6" s="3" t="s">
        <v>3517</v>
      </c>
    </row>
    <row r="7" spans="1:3">
      <c r="A7" s="3" t="s">
        <v>3520</v>
      </c>
      <c r="B7" s="3" t="s">
        <v>3521</v>
      </c>
      <c r="C7" s="3" t="s">
        <v>3510</v>
      </c>
    </row>
    <row r="8" spans="1:3">
      <c r="A8" s="3" t="s">
        <v>3522</v>
      </c>
      <c r="B8" s="3" t="s">
        <v>3523</v>
      </c>
      <c r="C8" s="3" t="s">
        <v>3510</v>
      </c>
    </row>
    <row r="9" spans="1:3">
      <c r="A9" s="3" t="s">
        <v>3524</v>
      </c>
      <c r="B9" s="3" t="s">
        <v>3525</v>
      </c>
      <c r="C9" s="3" t="s">
        <v>3510</v>
      </c>
    </row>
    <row r="10" spans="1:3">
      <c r="A10" s="3" t="s">
        <v>3526</v>
      </c>
      <c r="B10" s="3" t="s">
        <v>3527</v>
      </c>
      <c r="C10" s="3" t="s">
        <v>3510</v>
      </c>
    </row>
    <row r="11" spans="1:3">
      <c r="A11" s="3" t="s">
        <v>3528</v>
      </c>
      <c r="B11" s="3" t="s">
        <v>3529</v>
      </c>
      <c r="C11" s="3" t="s">
        <v>3510</v>
      </c>
    </row>
    <row r="12" spans="1:3">
      <c r="A12" s="3" t="s">
        <v>3530</v>
      </c>
      <c r="B12" s="3" t="s">
        <v>3531</v>
      </c>
      <c r="C12" s="3" t="s">
        <v>3517</v>
      </c>
    </row>
    <row r="13" spans="1:3">
      <c r="A13" s="3" t="s">
        <v>3532</v>
      </c>
      <c r="B13" s="3" t="s">
        <v>3533</v>
      </c>
      <c r="C13" s="3" t="s">
        <v>3517</v>
      </c>
    </row>
    <row r="14" spans="1:3">
      <c r="A14" s="3" t="s">
        <v>3534</v>
      </c>
      <c r="B14" s="3" t="s">
        <v>3535</v>
      </c>
      <c r="C14" s="3" t="s">
        <v>3517</v>
      </c>
    </row>
    <row r="15" spans="1:3">
      <c r="A15" s="3" t="s">
        <v>3536</v>
      </c>
      <c r="B15" s="3" t="s">
        <v>3537</v>
      </c>
      <c r="C15" s="3" t="s">
        <v>3517</v>
      </c>
    </row>
    <row r="16" spans="1:3">
      <c r="A16" s="3" t="s">
        <v>3538</v>
      </c>
      <c r="B16" s="3" t="s">
        <v>3539</v>
      </c>
      <c r="C16" s="3" t="s">
        <v>3510</v>
      </c>
    </row>
    <row r="17" spans="1:3">
      <c r="A17" s="3" t="s">
        <v>3540</v>
      </c>
      <c r="B17" s="3" t="s">
        <v>3541</v>
      </c>
      <c r="C17" s="3" t="s">
        <v>3510</v>
      </c>
    </row>
    <row r="18" spans="1:3">
      <c r="A18" s="3" t="s">
        <v>3542</v>
      </c>
      <c r="B18" s="3" t="s">
        <v>3543</v>
      </c>
      <c r="C18" s="3" t="s">
        <v>3510</v>
      </c>
    </row>
    <row r="19" spans="1:3">
      <c r="A19" s="3" t="s">
        <v>3544</v>
      </c>
      <c r="B19" s="3" t="s">
        <v>3545</v>
      </c>
      <c r="C19" s="3" t="s">
        <v>3510</v>
      </c>
    </row>
    <row r="20" spans="1:3">
      <c r="A20" s="3" t="s">
        <v>3546</v>
      </c>
      <c r="B20" s="3" t="s">
        <v>3547</v>
      </c>
      <c r="C20" s="3" t="s">
        <v>3510</v>
      </c>
    </row>
    <row r="21" spans="1:3">
      <c r="A21" s="3" t="s">
        <v>3548</v>
      </c>
      <c r="B21" s="3" t="s">
        <v>3549</v>
      </c>
      <c r="C21" s="3" t="s">
        <v>3517</v>
      </c>
    </row>
    <row r="22" spans="1:3">
      <c r="A22" s="3" t="s">
        <v>3550</v>
      </c>
      <c r="B22" s="3" t="s">
        <v>3551</v>
      </c>
      <c r="C22" s="3" t="s">
        <v>3517</v>
      </c>
    </row>
    <row r="23" spans="1:3">
      <c r="A23" s="3" t="s">
        <v>3552</v>
      </c>
      <c r="B23" s="3" t="s">
        <v>3553</v>
      </c>
      <c r="C23" s="3" t="s">
        <v>3510</v>
      </c>
    </row>
    <row r="24" spans="1:3">
      <c r="A24" s="3" t="s">
        <v>3554</v>
      </c>
      <c r="B24" s="3" t="s">
        <v>3554</v>
      </c>
      <c r="C24" s="3" t="s">
        <v>3510</v>
      </c>
    </row>
    <row r="25" spans="1:3">
      <c r="A25" s="3" t="s">
        <v>3555</v>
      </c>
      <c r="B25" s="3" t="s">
        <v>3556</v>
      </c>
      <c r="C25" s="3" t="s">
        <v>3517</v>
      </c>
    </row>
    <row r="26" spans="1:3">
      <c r="A26" s="3" t="s">
        <v>3557</v>
      </c>
      <c r="B26" s="3" t="s">
        <v>3558</v>
      </c>
      <c r="C26" s="3" t="s">
        <v>3517</v>
      </c>
    </row>
    <row r="27" spans="1:3">
      <c r="A27" s="3" t="s">
        <v>3559</v>
      </c>
      <c r="B27" s="3" t="s">
        <v>3560</v>
      </c>
      <c r="C27" s="3" t="s">
        <v>3510</v>
      </c>
    </row>
    <row r="28" spans="1:3">
      <c r="A28" s="3" t="s">
        <v>3561</v>
      </c>
      <c r="B28" s="3" t="s">
        <v>3562</v>
      </c>
      <c r="C28" s="3" t="s">
        <v>3510</v>
      </c>
    </row>
    <row r="29" spans="1:3">
      <c r="A29" s="3" t="s">
        <v>3563</v>
      </c>
      <c r="B29" s="3" t="s">
        <v>3564</v>
      </c>
      <c r="C29" s="3" t="s">
        <v>3517</v>
      </c>
    </row>
    <row r="30" spans="1:3">
      <c r="A30" s="3" t="s">
        <v>3565</v>
      </c>
      <c r="B30" s="3" t="s">
        <v>259</v>
      </c>
      <c r="C30" s="3" t="s">
        <v>3517</v>
      </c>
    </row>
    <row r="31" spans="1:3">
      <c r="A31" s="3" t="s">
        <v>3566</v>
      </c>
      <c r="B31" s="3" t="s">
        <v>3567</v>
      </c>
      <c r="C31" s="3" t="s">
        <v>3510</v>
      </c>
    </row>
    <row r="32" spans="1:3">
      <c r="A32" s="3" t="s">
        <v>3568</v>
      </c>
      <c r="B32" s="3" t="s">
        <v>3569</v>
      </c>
      <c r="C32" s="3" t="s">
        <v>3517</v>
      </c>
    </row>
    <row r="33" spans="1:3">
      <c r="A33" s="3" t="s">
        <v>3570</v>
      </c>
      <c r="B33" s="3" t="s">
        <v>3571</v>
      </c>
      <c r="C33" s="3" t="s">
        <v>3510</v>
      </c>
    </row>
    <row r="34" spans="1:3">
      <c r="A34" s="3" t="s">
        <v>3572</v>
      </c>
      <c r="B34" s="3" t="s">
        <v>3573</v>
      </c>
      <c r="C34" s="3" t="s">
        <v>3517</v>
      </c>
    </row>
    <row r="35" spans="1:3">
      <c r="A35" s="3" t="s">
        <v>3574</v>
      </c>
      <c r="B35" s="3" t="s">
        <v>3575</v>
      </c>
      <c r="C35" s="3" t="s">
        <v>3510</v>
      </c>
    </row>
    <row r="36" spans="1:3">
      <c r="A36" s="3" t="s">
        <v>3576</v>
      </c>
      <c r="B36" s="3" t="s">
        <v>3577</v>
      </c>
      <c r="C36" s="3" t="s">
        <v>3517</v>
      </c>
    </row>
    <row r="37" spans="1:3">
      <c r="A37" s="3" t="s">
        <v>3578</v>
      </c>
      <c r="B37" s="3" t="s">
        <v>3579</v>
      </c>
      <c r="C37" s="3" t="s">
        <v>3510</v>
      </c>
    </row>
    <row r="38" spans="1:3">
      <c r="A38" s="3" t="s">
        <v>3580</v>
      </c>
      <c r="B38" s="3" t="s">
        <v>3581</v>
      </c>
      <c r="C38" s="3" t="s">
        <v>3517</v>
      </c>
    </row>
    <row r="39" spans="1:3">
      <c r="A39" s="3" t="s">
        <v>3582</v>
      </c>
      <c r="B39" s="3" t="s">
        <v>3583</v>
      </c>
      <c r="C39" s="3" t="s">
        <v>3517</v>
      </c>
    </row>
    <row r="40" spans="1:3">
      <c r="A40" s="3" t="s">
        <v>3584</v>
      </c>
      <c r="B40" s="3" t="s">
        <v>3585</v>
      </c>
      <c r="C40" s="3" t="s">
        <v>3517</v>
      </c>
    </row>
    <row r="41" spans="1:3">
      <c r="A41" s="3" t="s">
        <v>3586</v>
      </c>
      <c r="B41" s="3" t="s">
        <v>3587</v>
      </c>
      <c r="C41" s="3" t="s">
        <v>3517</v>
      </c>
    </row>
    <row r="42" spans="1:3">
      <c r="A42" s="3" t="s">
        <v>3588</v>
      </c>
      <c r="B42" s="3" t="s">
        <v>3589</v>
      </c>
      <c r="C42" s="3" t="s">
        <v>3517</v>
      </c>
    </row>
    <row r="43" spans="1:3">
      <c r="A43" s="3" t="s">
        <v>3590</v>
      </c>
      <c r="B43" s="3" t="s">
        <v>3591</v>
      </c>
      <c r="C43" s="3" t="s">
        <v>3517</v>
      </c>
    </row>
    <row r="44" spans="1:3">
      <c r="A44" s="3" t="s">
        <v>3592</v>
      </c>
      <c r="B44" s="3" t="s">
        <v>3593</v>
      </c>
      <c r="C44" s="3" t="s">
        <v>3517</v>
      </c>
    </row>
    <row r="45" spans="1:3">
      <c r="A45" s="3" t="s">
        <v>3594</v>
      </c>
      <c r="B45" s="3" t="s">
        <v>3594</v>
      </c>
      <c r="C45" s="3" t="s">
        <v>3517</v>
      </c>
    </row>
    <row r="46" spans="1:3">
      <c r="A46" s="3" t="s">
        <v>3595</v>
      </c>
      <c r="B46" s="3" t="s">
        <v>3596</v>
      </c>
      <c r="C46" s="3" t="s">
        <v>3517</v>
      </c>
    </row>
    <row r="47" spans="1:3">
      <c r="A47" s="3" t="s">
        <v>3597</v>
      </c>
      <c r="B47" s="3" t="s">
        <v>3598</v>
      </c>
      <c r="C47" s="3" t="s">
        <v>3517</v>
      </c>
    </row>
    <row r="48" spans="1:3">
      <c r="A48" s="3" t="s">
        <v>3599</v>
      </c>
      <c r="B48" s="3" t="s">
        <v>3600</v>
      </c>
      <c r="C48" s="3" t="s">
        <v>3517</v>
      </c>
    </row>
    <row r="49" spans="1:3">
      <c r="A49" s="3" t="s">
        <v>3601</v>
      </c>
      <c r="B49" s="3" t="s">
        <v>3602</v>
      </c>
      <c r="C49" s="3" t="s">
        <v>3517</v>
      </c>
    </row>
    <row r="50" spans="1:3">
      <c r="A50" s="3" t="s">
        <v>3603</v>
      </c>
      <c r="B50" s="3" t="s">
        <v>3604</v>
      </c>
      <c r="C50" s="3" t="s">
        <v>3517</v>
      </c>
    </row>
    <row r="51" spans="1:3">
      <c r="A51" s="3" t="s">
        <v>3605</v>
      </c>
      <c r="B51" s="3" t="s">
        <v>3606</v>
      </c>
      <c r="C51" s="3" t="s">
        <v>3517</v>
      </c>
    </row>
    <row r="52" spans="1:3">
      <c r="A52" s="3" t="s">
        <v>3607</v>
      </c>
      <c r="B52" s="3" t="s">
        <v>3608</v>
      </c>
      <c r="C52" s="3" t="s">
        <v>3510</v>
      </c>
    </row>
    <row r="53" spans="1:3">
      <c r="A53" s="3" t="s">
        <v>3609</v>
      </c>
      <c r="B53" s="3" t="s">
        <v>3610</v>
      </c>
      <c r="C53" s="3" t="s">
        <v>3510</v>
      </c>
    </row>
    <row r="54" spans="1:3">
      <c r="A54" s="3" t="s">
        <v>3611</v>
      </c>
      <c r="B54" s="3" t="s">
        <v>3612</v>
      </c>
      <c r="C54" s="3" t="s">
        <v>3510</v>
      </c>
    </row>
    <row r="55" spans="1:3">
      <c r="A55" s="3" t="s">
        <v>3613</v>
      </c>
      <c r="B55" s="3" t="s">
        <v>3614</v>
      </c>
      <c r="C55" s="3" t="s">
        <v>3517</v>
      </c>
    </row>
    <row r="56" spans="1:3">
      <c r="A56" s="3" t="s">
        <v>3615</v>
      </c>
      <c r="B56" s="3" t="s">
        <v>3616</v>
      </c>
      <c r="C56" s="3" t="s">
        <v>3517</v>
      </c>
    </row>
    <row r="57" spans="1:3">
      <c r="A57" s="3" t="s">
        <v>3617</v>
      </c>
      <c r="B57" s="3" t="s">
        <v>3618</v>
      </c>
      <c r="C57" s="3" t="s">
        <v>3517</v>
      </c>
    </row>
    <row r="58" spans="1:3">
      <c r="A58" s="3" t="s">
        <v>3619</v>
      </c>
      <c r="B58" s="3" t="s">
        <v>3620</v>
      </c>
      <c r="C58" s="3" t="s">
        <v>3510</v>
      </c>
    </row>
    <row r="59" spans="1:3">
      <c r="A59" s="3" t="s">
        <v>3621</v>
      </c>
      <c r="B59" s="3" t="s">
        <v>3622</v>
      </c>
      <c r="C59" s="3" t="s">
        <v>3517</v>
      </c>
    </row>
    <row r="60" spans="1:3">
      <c r="A60" s="3" t="s">
        <v>3623</v>
      </c>
      <c r="B60" s="3" t="s">
        <v>3624</v>
      </c>
      <c r="C60" s="3" t="s">
        <v>3517</v>
      </c>
    </row>
    <row r="61" spans="1:3">
      <c r="A61" s="3" t="s">
        <v>3625</v>
      </c>
      <c r="B61" s="3" t="s">
        <v>3626</v>
      </c>
      <c r="C61" s="3" t="s">
        <v>3517</v>
      </c>
    </row>
    <row r="62" spans="1:3">
      <c r="A62" s="3" t="s">
        <v>3627</v>
      </c>
      <c r="B62" s="3" t="s">
        <v>3628</v>
      </c>
      <c r="C62" s="3" t="s">
        <v>3517</v>
      </c>
    </row>
    <row r="63" spans="1:3">
      <c r="A63" s="3" t="s">
        <v>3629</v>
      </c>
      <c r="B63" s="3" t="s">
        <v>3630</v>
      </c>
      <c r="C63" s="3" t="s">
        <v>3510</v>
      </c>
    </row>
    <row r="64" spans="1:3">
      <c r="A64" s="3" t="s">
        <v>3631</v>
      </c>
      <c r="B64" s="3" t="s">
        <v>3632</v>
      </c>
      <c r="C64" s="3" t="s">
        <v>3510</v>
      </c>
    </row>
    <row r="65" spans="1:3">
      <c r="A65" s="3" t="s">
        <v>3633</v>
      </c>
      <c r="B65" s="3" t="s">
        <v>3634</v>
      </c>
      <c r="C65" s="3" t="s">
        <v>3510</v>
      </c>
    </row>
    <row r="66" spans="1:3">
      <c r="A66" s="3" t="s">
        <v>3635</v>
      </c>
      <c r="B66" s="3" t="s">
        <v>3636</v>
      </c>
      <c r="C66" s="3" t="s">
        <v>3517</v>
      </c>
    </row>
    <row r="67" spans="1:3">
      <c r="A67" s="3" t="s">
        <v>3637</v>
      </c>
      <c r="B67" s="3" t="s">
        <v>3638</v>
      </c>
      <c r="C67" s="3" t="s">
        <v>3517</v>
      </c>
    </row>
    <row r="68" spans="1:3">
      <c r="A68" s="3" t="s">
        <v>3639</v>
      </c>
      <c r="B68" s="3" t="s">
        <v>3640</v>
      </c>
      <c r="C68" s="3" t="s">
        <v>3510</v>
      </c>
    </row>
    <row r="69" spans="1:3">
      <c r="A69" s="3" t="s">
        <v>3641</v>
      </c>
      <c r="B69" s="3" t="s">
        <v>3642</v>
      </c>
      <c r="C69" s="3" t="s">
        <v>3510</v>
      </c>
    </row>
    <row r="70" spans="1:3">
      <c r="A70" s="3" t="s">
        <v>3643</v>
      </c>
      <c r="B70" s="3" t="s">
        <v>3644</v>
      </c>
      <c r="C70" s="3" t="s">
        <v>3517</v>
      </c>
    </row>
    <row r="71" spans="1:3">
      <c r="A71" s="3" t="s">
        <v>3645</v>
      </c>
      <c r="B71" s="3" t="s">
        <v>3646</v>
      </c>
      <c r="C71" s="3" t="s">
        <v>3510</v>
      </c>
    </row>
    <row r="72" spans="1:3">
      <c r="A72" s="3" t="s">
        <v>3647</v>
      </c>
      <c r="B72" s="3" t="s">
        <v>3648</v>
      </c>
      <c r="C72" s="3" t="s">
        <v>3510</v>
      </c>
    </row>
    <row r="73" spans="1:3">
      <c r="A73" s="3" t="s">
        <v>3649</v>
      </c>
      <c r="B73" s="3" t="s">
        <v>3650</v>
      </c>
      <c r="C73" s="3" t="s">
        <v>3510</v>
      </c>
    </row>
    <row r="74" spans="1:3">
      <c r="A74" s="3" t="s">
        <v>3651</v>
      </c>
      <c r="B74" s="3" t="s">
        <v>3652</v>
      </c>
      <c r="C74" s="3" t="s">
        <v>3517</v>
      </c>
    </row>
    <row r="75" spans="1:3">
      <c r="A75" s="3" t="s">
        <v>3653</v>
      </c>
      <c r="B75" s="3" t="s">
        <v>3654</v>
      </c>
      <c r="C75" s="3" t="s">
        <v>3510</v>
      </c>
    </row>
    <row r="76" spans="1:3">
      <c r="A76" s="3" t="s">
        <v>3655</v>
      </c>
      <c r="B76" s="3" t="s">
        <v>3656</v>
      </c>
      <c r="C76" s="3" t="s">
        <v>3517</v>
      </c>
    </row>
    <row r="77" spans="1:3">
      <c r="A77" s="3" t="s">
        <v>3657</v>
      </c>
      <c r="B77" s="3" t="s">
        <v>3658</v>
      </c>
      <c r="C77" s="3" t="s">
        <v>3517</v>
      </c>
    </row>
    <row r="78" spans="1:3">
      <c r="A78" s="3" t="s">
        <v>3659</v>
      </c>
      <c r="B78" s="3" t="s">
        <v>3660</v>
      </c>
      <c r="C78" s="3" t="s">
        <v>3517</v>
      </c>
    </row>
    <row r="79" spans="1:3">
      <c r="A79" s="3" t="s">
        <v>3661</v>
      </c>
      <c r="B79" s="3" t="s">
        <v>3662</v>
      </c>
      <c r="C79" s="3" t="s">
        <v>3517</v>
      </c>
    </row>
    <row r="80" spans="1:3">
      <c r="A80" s="3" t="s">
        <v>3663</v>
      </c>
      <c r="B80" s="3" t="s">
        <v>3664</v>
      </c>
      <c r="C80" s="3" t="s">
        <v>3517</v>
      </c>
    </row>
    <row r="81" spans="1:3">
      <c r="A81" s="3" t="s">
        <v>3665</v>
      </c>
      <c r="B81" s="3" t="s">
        <v>3666</v>
      </c>
      <c r="C81" s="3" t="s">
        <v>3517</v>
      </c>
    </row>
    <row r="82" spans="1:3">
      <c r="A82" s="3" t="s">
        <v>3667</v>
      </c>
      <c r="B82" s="3" t="s">
        <v>3668</v>
      </c>
      <c r="C82" s="3" t="s">
        <v>3517</v>
      </c>
    </row>
    <row r="83" spans="1:3">
      <c r="A83" s="3" t="s">
        <v>3669</v>
      </c>
      <c r="B83" s="3" t="s">
        <v>3670</v>
      </c>
      <c r="C83" s="3" t="s">
        <v>3510</v>
      </c>
    </row>
    <row r="84" spans="1:3">
      <c r="A84" s="3" t="s">
        <v>3671</v>
      </c>
      <c r="B84" s="3" t="s">
        <v>3672</v>
      </c>
      <c r="C84" s="3" t="s">
        <v>3510</v>
      </c>
    </row>
    <row r="85" spans="1:3">
      <c r="A85" s="3" t="s">
        <v>3673</v>
      </c>
      <c r="B85" s="3" t="s">
        <v>3674</v>
      </c>
      <c r="C85" s="3" t="s">
        <v>3510</v>
      </c>
    </row>
    <row r="86" spans="1:3">
      <c r="A86" s="3" t="s">
        <v>3675</v>
      </c>
      <c r="B86" s="3" t="s">
        <v>3676</v>
      </c>
      <c r="C86" s="3" t="s">
        <v>3517</v>
      </c>
    </row>
    <row r="87" spans="1:3">
      <c r="A87" s="3" t="s">
        <v>3677</v>
      </c>
      <c r="B87" s="3" t="s">
        <v>3678</v>
      </c>
      <c r="C87" s="3" t="s">
        <v>3510</v>
      </c>
    </row>
    <row r="88" spans="1:3">
      <c r="A88" s="3" t="s">
        <v>3679</v>
      </c>
      <c r="B88" s="3" t="s">
        <v>3680</v>
      </c>
      <c r="C88" s="3" t="s">
        <v>3517</v>
      </c>
    </row>
    <row r="89" spans="1:3">
      <c r="A89" s="3" t="s">
        <v>3681</v>
      </c>
      <c r="B89" s="3" t="s">
        <v>3682</v>
      </c>
      <c r="C89" s="3" t="s">
        <v>3510</v>
      </c>
    </row>
    <row r="90" spans="1:3">
      <c r="A90" s="3" t="s">
        <v>3683</v>
      </c>
      <c r="B90" s="3" t="s">
        <v>3684</v>
      </c>
      <c r="C90" s="3" t="s">
        <v>3510</v>
      </c>
    </row>
    <row r="91" spans="1:3">
      <c r="A91" s="3" t="s">
        <v>3685</v>
      </c>
      <c r="B91" s="3" t="s">
        <v>3686</v>
      </c>
      <c r="C91" s="3" t="s">
        <v>3510</v>
      </c>
    </row>
    <row r="92" spans="1:3">
      <c r="A92" s="3" t="s">
        <v>3687</v>
      </c>
      <c r="B92" s="3" t="s">
        <v>3688</v>
      </c>
      <c r="C92" s="3" t="s">
        <v>3510</v>
      </c>
    </row>
    <row r="93" spans="1:3">
      <c r="A93" s="3" t="s">
        <v>3689</v>
      </c>
      <c r="B93" s="3" t="s">
        <v>3690</v>
      </c>
      <c r="C93" s="3" t="s">
        <v>3510</v>
      </c>
    </row>
    <row r="94" spans="1:3">
      <c r="A94" s="3" t="s">
        <v>3691</v>
      </c>
      <c r="B94" s="3" t="s">
        <v>3692</v>
      </c>
      <c r="C94" s="3" t="s">
        <v>3517</v>
      </c>
    </row>
    <row r="95" spans="1:3">
      <c r="A95" s="3" t="s">
        <v>3693</v>
      </c>
      <c r="B95" s="3" t="s">
        <v>3694</v>
      </c>
      <c r="C95" s="3" t="s">
        <v>3517</v>
      </c>
    </row>
    <row r="96" spans="1:3">
      <c r="A96" s="3" t="s">
        <v>3695</v>
      </c>
      <c r="B96" s="3" t="s">
        <v>3696</v>
      </c>
      <c r="C96" s="3" t="s">
        <v>3517</v>
      </c>
    </row>
    <row r="97" spans="1:3">
      <c r="A97" s="3" t="s">
        <v>3697</v>
      </c>
      <c r="B97" s="3" t="s">
        <v>3698</v>
      </c>
      <c r="C97" s="3" t="s">
        <v>3517</v>
      </c>
    </row>
    <row r="98" spans="1:3">
      <c r="A98" s="3" t="s">
        <v>3699</v>
      </c>
      <c r="B98" s="3" t="s">
        <v>3700</v>
      </c>
      <c r="C98" s="3" t="s">
        <v>3517</v>
      </c>
    </row>
    <row r="99" spans="1:3">
      <c r="A99" s="3" t="s">
        <v>3701</v>
      </c>
      <c r="B99" s="3" t="s">
        <v>3702</v>
      </c>
      <c r="C99" s="3" t="s">
        <v>3517</v>
      </c>
    </row>
    <row r="100" spans="1:3">
      <c r="A100" s="3" t="s">
        <v>3703</v>
      </c>
      <c r="B100" s="3" t="s">
        <v>3704</v>
      </c>
      <c r="C100" s="3" t="s">
        <v>3517</v>
      </c>
    </row>
    <row r="101" spans="1:3">
      <c r="A101" s="3" t="s">
        <v>3705</v>
      </c>
      <c r="B101" s="3" t="s">
        <v>3706</v>
      </c>
      <c r="C101" s="3" t="s">
        <v>3517</v>
      </c>
    </row>
    <row r="102" spans="1:3">
      <c r="A102" s="3" t="s">
        <v>3707</v>
      </c>
      <c r="B102" s="3" t="s">
        <v>3708</v>
      </c>
      <c r="C102" s="3" t="s">
        <v>3510</v>
      </c>
    </row>
    <row r="103" spans="1:3">
      <c r="A103" s="3" t="s">
        <v>3709</v>
      </c>
      <c r="B103" s="3" t="s">
        <v>3710</v>
      </c>
      <c r="C103" s="3" t="s">
        <v>3510</v>
      </c>
    </row>
    <row r="104" spans="1:3">
      <c r="A104" s="3" t="s">
        <v>3711</v>
      </c>
      <c r="B104" s="3" t="s">
        <v>3712</v>
      </c>
      <c r="C104" s="3" t="s">
        <v>3517</v>
      </c>
    </row>
    <row r="105" spans="1:3">
      <c r="A105" s="3" t="s">
        <v>3713</v>
      </c>
      <c r="B105" s="3" t="s">
        <v>3714</v>
      </c>
      <c r="C105" s="3" t="s">
        <v>3517</v>
      </c>
    </row>
    <row r="106" spans="1:3">
      <c r="A106" s="3" t="s">
        <v>3715</v>
      </c>
      <c r="B106" s="3" t="s">
        <v>3716</v>
      </c>
      <c r="C106" s="3" t="s">
        <v>3517</v>
      </c>
    </row>
    <row r="107" spans="1:3">
      <c r="A107" s="3" t="s">
        <v>3717</v>
      </c>
      <c r="B107" s="3" t="s">
        <v>3718</v>
      </c>
      <c r="C107" s="3" t="s">
        <v>3517</v>
      </c>
    </row>
    <row r="108" spans="1:3">
      <c r="A108" s="3" t="s">
        <v>3719</v>
      </c>
      <c r="B108" s="3" t="s">
        <v>3720</v>
      </c>
      <c r="C108" s="3" t="s">
        <v>3510</v>
      </c>
    </row>
    <row r="109" spans="1:3">
      <c r="A109" s="3" t="s">
        <v>3721</v>
      </c>
      <c r="B109" s="3" t="s">
        <v>3722</v>
      </c>
      <c r="C109" s="3" t="s">
        <v>3517</v>
      </c>
    </row>
    <row r="110" spans="1:3">
      <c r="A110" s="3" t="s">
        <v>3723</v>
      </c>
      <c r="B110" s="3" t="s">
        <v>3724</v>
      </c>
      <c r="C110" s="3" t="s">
        <v>3517</v>
      </c>
    </row>
    <row r="111" spans="1:3">
      <c r="A111" s="3" t="s">
        <v>3725</v>
      </c>
      <c r="B111" s="3" t="s">
        <v>3726</v>
      </c>
      <c r="C111" s="3" t="s">
        <v>3510</v>
      </c>
    </row>
    <row r="112" spans="1:3">
      <c r="A112" s="3" t="s">
        <v>3727</v>
      </c>
      <c r="B112" s="3" t="s">
        <v>3728</v>
      </c>
      <c r="C112" s="3" t="s">
        <v>3510</v>
      </c>
    </row>
    <row r="113" spans="1:3">
      <c r="A113" s="3" t="s">
        <v>3729</v>
      </c>
      <c r="B113" s="3" t="s">
        <v>3730</v>
      </c>
      <c r="C113" s="3" t="s">
        <v>3510</v>
      </c>
    </row>
    <row r="114" spans="1:3">
      <c r="A114" s="3" t="s">
        <v>3731</v>
      </c>
      <c r="B114" s="3" t="s">
        <v>3732</v>
      </c>
      <c r="C114" s="3" t="s">
        <v>3510</v>
      </c>
    </row>
    <row r="115" spans="1:3">
      <c r="A115" s="3" t="s">
        <v>3733</v>
      </c>
      <c r="B115" s="3" t="s">
        <v>3734</v>
      </c>
      <c r="C115" s="3" t="s">
        <v>3510</v>
      </c>
    </row>
    <row r="116" spans="1:3">
      <c r="A116" s="3" t="s">
        <v>3735</v>
      </c>
      <c r="B116" s="3" t="s">
        <v>3736</v>
      </c>
      <c r="C116" s="3" t="s">
        <v>3510</v>
      </c>
    </row>
    <row r="117" spans="1:3">
      <c r="A117" s="3" t="s">
        <v>3737</v>
      </c>
      <c r="B117" s="3" t="s">
        <v>3738</v>
      </c>
      <c r="C117" s="3" t="s">
        <v>3517</v>
      </c>
    </row>
    <row r="118" spans="1:3">
      <c r="A118" s="3" t="s">
        <v>3739</v>
      </c>
      <c r="B118" s="3" t="s">
        <v>3740</v>
      </c>
      <c r="C118" s="3" t="s">
        <v>3517</v>
      </c>
    </row>
    <row r="119" spans="1:3">
      <c r="A119" s="3" t="s">
        <v>3741</v>
      </c>
      <c r="B119" s="3" t="s">
        <v>3742</v>
      </c>
      <c r="C119" s="3" t="s">
        <v>3517</v>
      </c>
    </row>
    <row r="120" spans="1:3">
      <c r="A120" s="3" t="s">
        <v>3743</v>
      </c>
      <c r="B120" s="3" t="s">
        <v>3744</v>
      </c>
      <c r="C120" s="3" t="s">
        <v>3517</v>
      </c>
    </row>
    <row r="121" spans="1:3">
      <c r="A121" s="3" t="s">
        <v>3745</v>
      </c>
      <c r="B121" s="3" t="s">
        <v>3746</v>
      </c>
      <c r="C121" s="3" t="s">
        <v>3510</v>
      </c>
    </row>
    <row r="122" spans="1:3">
      <c r="A122" s="3" t="s">
        <v>3747</v>
      </c>
      <c r="B122" s="3" t="s">
        <v>3748</v>
      </c>
      <c r="C122" s="3" t="s">
        <v>3510</v>
      </c>
    </row>
    <row r="123" spans="1:3">
      <c r="A123" s="3" t="s">
        <v>3749</v>
      </c>
      <c r="B123" s="3" t="s">
        <v>3750</v>
      </c>
      <c r="C123" s="3" t="s">
        <v>3510</v>
      </c>
    </row>
    <row r="124" spans="1:3">
      <c r="A124" s="3" t="s">
        <v>3751</v>
      </c>
      <c r="B124" s="3" t="s">
        <v>3752</v>
      </c>
      <c r="C124" s="3" t="s">
        <v>3517</v>
      </c>
    </row>
    <row r="125" spans="1:3">
      <c r="A125" s="3" t="s">
        <v>3753</v>
      </c>
      <c r="B125" s="3" t="s">
        <v>3754</v>
      </c>
      <c r="C125" s="3" t="s">
        <v>3510</v>
      </c>
    </row>
    <row r="126" spans="1:3">
      <c r="A126" s="3" t="s">
        <v>3755</v>
      </c>
      <c r="B126" s="3" t="s">
        <v>3756</v>
      </c>
      <c r="C126" s="3" t="s">
        <v>3510</v>
      </c>
    </row>
    <row r="127" spans="1:3">
      <c r="A127" s="3" t="s">
        <v>3757</v>
      </c>
      <c r="B127" s="3" t="s">
        <v>3758</v>
      </c>
      <c r="C127" s="3" t="s">
        <v>3510</v>
      </c>
    </row>
    <row r="128" spans="1:3">
      <c r="A128" s="3" t="s">
        <v>3759</v>
      </c>
      <c r="B128" s="3" t="s">
        <v>3760</v>
      </c>
      <c r="C128" s="3" t="s">
        <v>3510</v>
      </c>
    </row>
    <row r="129" spans="1:3">
      <c r="A129" s="3" t="s">
        <v>3761</v>
      </c>
      <c r="B129" s="3" t="s">
        <v>3762</v>
      </c>
      <c r="C129" s="3" t="s">
        <v>3510</v>
      </c>
    </row>
    <row r="130" spans="1:3">
      <c r="A130" s="3" t="s">
        <v>3763</v>
      </c>
      <c r="B130" s="3" t="s">
        <v>3764</v>
      </c>
      <c r="C130" s="3" t="s">
        <v>3517</v>
      </c>
    </row>
    <row r="131" spans="1:3">
      <c r="A131" s="3" t="s">
        <v>3765</v>
      </c>
      <c r="B131" s="3" t="s">
        <v>3766</v>
      </c>
      <c r="C131" s="3" t="s">
        <v>3517</v>
      </c>
    </row>
    <row r="132" spans="1:3">
      <c r="A132" s="3" t="s">
        <v>3767</v>
      </c>
      <c r="B132" s="3" t="s">
        <v>3768</v>
      </c>
      <c r="C132" s="3" t="s">
        <v>3510</v>
      </c>
    </row>
    <row r="133" spans="1:3">
      <c r="A133" s="3" t="s">
        <v>3769</v>
      </c>
      <c r="B133" s="3" t="s">
        <v>3770</v>
      </c>
      <c r="C133" s="3" t="s">
        <v>3510</v>
      </c>
    </row>
    <row r="134" spans="1:3">
      <c r="A134" s="3" t="s">
        <v>3771</v>
      </c>
      <c r="B134" s="3" t="s">
        <v>3772</v>
      </c>
      <c r="C134" s="3" t="s">
        <v>3510</v>
      </c>
    </row>
    <row r="135" spans="1:3">
      <c r="A135" s="3" t="s">
        <v>3773</v>
      </c>
      <c r="B135" s="3" t="s">
        <v>3774</v>
      </c>
      <c r="C135" s="3" t="s">
        <v>3510</v>
      </c>
    </row>
    <row r="136" spans="1:3">
      <c r="A136" s="3" t="s">
        <v>3775</v>
      </c>
      <c r="B136" s="3" t="s">
        <v>3776</v>
      </c>
      <c r="C136" s="3" t="s">
        <v>3517</v>
      </c>
    </row>
    <row r="137" spans="1:3">
      <c r="A137" s="3" t="s">
        <v>3777</v>
      </c>
      <c r="B137" s="3" t="s">
        <v>3778</v>
      </c>
      <c r="C137" s="3" t="s">
        <v>3517</v>
      </c>
    </row>
    <row r="138" spans="1:3">
      <c r="A138" s="3" t="s">
        <v>3779</v>
      </c>
      <c r="B138" s="3" t="s">
        <v>3780</v>
      </c>
      <c r="C138" s="3" t="s">
        <v>3510</v>
      </c>
    </row>
    <row r="139" spans="1:3">
      <c r="A139" s="3" t="s">
        <v>3781</v>
      </c>
      <c r="B139" s="3" t="s">
        <v>3782</v>
      </c>
      <c r="C139" s="3" t="s">
        <v>3510</v>
      </c>
    </row>
    <row r="140" spans="1:3">
      <c r="A140" s="3" t="s">
        <v>3783</v>
      </c>
      <c r="B140" s="3" t="s">
        <v>3784</v>
      </c>
      <c r="C140" s="3" t="s">
        <v>3517</v>
      </c>
    </row>
    <row r="141" spans="1:3">
      <c r="A141" s="3" t="s">
        <v>3785</v>
      </c>
      <c r="B141" s="3" t="s">
        <v>3786</v>
      </c>
      <c r="C141" s="3" t="s">
        <v>3510</v>
      </c>
    </row>
    <row r="142" spans="1:3">
      <c r="A142" s="3" t="s">
        <v>3787</v>
      </c>
      <c r="B142" s="3" t="s">
        <v>3788</v>
      </c>
      <c r="C142" s="3" t="s">
        <v>3517</v>
      </c>
    </row>
    <row r="143" spans="1:3">
      <c r="A143" s="3" t="s">
        <v>3789</v>
      </c>
      <c r="B143" s="3" t="s">
        <v>3790</v>
      </c>
      <c r="C143" s="3" t="s">
        <v>3517</v>
      </c>
    </row>
    <row r="144" spans="1:3">
      <c r="A144" s="3" t="s">
        <v>3791</v>
      </c>
      <c r="B144" s="3" t="s">
        <v>3792</v>
      </c>
      <c r="C144" s="3" t="s">
        <v>3510</v>
      </c>
    </row>
    <row r="145" spans="1:3">
      <c r="A145" s="3" t="s">
        <v>3793</v>
      </c>
      <c r="B145" s="3" t="s">
        <v>3794</v>
      </c>
      <c r="C145" s="3" t="s">
        <v>3510</v>
      </c>
    </row>
    <row r="146" spans="1:3">
      <c r="A146" s="3" t="s">
        <v>3795</v>
      </c>
      <c r="B146" s="3" t="s">
        <v>3796</v>
      </c>
      <c r="C146" s="3" t="s">
        <v>3510</v>
      </c>
    </row>
    <row r="147" spans="1:3">
      <c r="A147" s="3" t="s">
        <v>3797</v>
      </c>
      <c r="B147" s="3" t="s">
        <v>3798</v>
      </c>
      <c r="C147" s="3" t="s">
        <v>3517</v>
      </c>
    </row>
    <row r="148" spans="1:3">
      <c r="A148" s="3" t="s">
        <v>3799</v>
      </c>
      <c r="B148" s="3" t="s">
        <v>3800</v>
      </c>
      <c r="C148" s="3" t="s">
        <v>3517</v>
      </c>
    </row>
    <row r="149" spans="1:3">
      <c r="A149" s="3" t="s">
        <v>3801</v>
      </c>
      <c r="B149" s="3" t="s">
        <v>3802</v>
      </c>
      <c r="C149" s="3" t="s">
        <v>3517</v>
      </c>
    </row>
    <row r="150" spans="1:3">
      <c r="A150" s="3" t="s">
        <v>3803</v>
      </c>
      <c r="B150" s="3" t="s">
        <v>3804</v>
      </c>
      <c r="C150" s="3" t="s">
        <v>3517</v>
      </c>
    </row>
    <row r="151" spans="1:3">
      <c r="A151" s="3" t="s">
        <v>3805</v>
      </c>
      <c r="B151" s="3" t="s">
        <v>3806</v>
      </c>
      <c r="C151" s="3" t="s">
        <v>3510</v>
      </c>
    </row>
    <row r="152" spans="1:3">
      <c r="A152" s="3" t="s">
        <v>3807</v>
      </c>
      <c r="B152" s="3" t="s">
        <v>3808</v>
      </c>
      <c r="C152" s="3" t="s">
        <v>3517</v>
      </c>
    </row>
    <row r="153" spans="1:3">
      <c r="A153" s="3" t="s">
        <v>3809</v>
      </c>
      <c r="B153" s="3" t="s">
        <v>3810</v>
      </c>
      <c r="C153" s="3" t="s">
        <v>3517</v>
      </c>
    </row>
    <row r="154" spans="1:3">
      <c r="A154" s="3" t="s">
        <v>3811</v>
      </c>
      <c r="B154" s="3" t="s">
        <v>3812</v>
      </c>
      <c r="C154" s="3" t="s">
        <v>3517</v>
      </c>
    </row>
    <row r="155" spans="1:3">
      <c r="A155" s="3" t="s">
        <v>3813</v>
      </c>
      <c r="B155" s="3" t="s">
        <v>3814</v>
      </c>
      <c r="C155" s="3" t="s">
        <v>3510</v>
      </c>
    </row>
    <row r="156" spans="1:3">
      <c r="A156" s="3" t="s">
        <v>3815</v>
      </c>
      <c r="B156" s="3" t="s">
        <v>3816</v>
      </c>
      <c r="C156" s="3" t="s">
        <v>3517</v>
      </c>
    </row>
    <row r="157" spans="1:3">
      <c r="A157" s="3" t="s">
        <v>3817</v>
      </c>
      <c r="B157" s="3" t="s">
        <v>3818</v>
      </c>
      <c r="C157" s="3" t="s">
        <v>3510</v>
      </c>
    </row>
    <row r="158" spans="1:3">
      <c r="A158" s="3" t="s">
        <v>3819</v>
      </c>
      <c r="B158" s="3" t="s">
        <v>3820</v>
      </c>
      <c r="C158" s="3" t="s">
        <v>3517</v>
      </c>
    </row>
    <row r="159" spans="1:3">
      <c r="A159" s="3" t="s">
        <v>3821</v>
      </c>
      <c r="B159" s="3" t="s">
        <v>3822</v>
      </c>
      <c r="C159" s="3" t="s">
        <v>3510</v>
      </c>
    </row>
    <row r="160" spans="1:3">
      <c r="A160" s="3" t="s">
        <v>3823</v>
      </c>
      <c r="B160" s="3" t="s">
        <v>3824</v>
      </c>
      <c r="C160" s="3" t="s">
        <v>3517</v>
      </c>
    </row>
    <row r="161" spans="1:3">
      <c r="A161" s="3" t="s">
        <v>3825</v>
      </c>
      <c r="B161" s="3" t="s">
        <v>3826</v>
      </c>
      <c r="C161" s="3" t="s">
        <v>3510</v>
      </c>
    </row>
    <row r="162" spans="1:3">
      <c r="A162" s="3" t="s">
        <v>3827</v>
      </c>
      <c r="B162" s="3" t="s">
        <v>3828</v>
      </c>
      <c r="C162" s="3" t="s">
        <v>3517</v>
      </c>
    </row>
    <row r="163" spans="1:3">
      <c r="A163" s="3" t="s">
        <v>3829</v>
      </c>
      <c r="B163" s="3" t="s">
        <v>3830</v>
      </c>
      <c r="C163" s="3" t="s">
        <v>3510</v>
      </c>
    </row>
    <row r="164" spans="1:3">
      <c r="A164" s="3" t="s">
        <v>3831</v>
      </c>
      <c r="B164" s="3" t="s">
        <v>3832</v>
      </c>
      <c r="C164" s="3" t="s">
        <v>3517</v>
      </c>
    </row>
    <row r="165" spans="1:3">
      <c r="A165" s="3" t="s">
        <v>3833</v>
      </c>
      <c r="B165" s="3" t="s">
        <v>3834</v>
      </c>
      <c r="C165" s="3" t="s">
        <v>3510</v>
      </c>
    </row>
    <row r="166" spans="1:3">
      <c r="A166" s="3" t="s">
        <v>3835</v>
      </c>
      <c r="B166" s="3" t="s">
        <v>3836</v>
      </c>
      <c r="C166" s="3" t="s">
        <v>3510</v>
      </c>
    </row>
    <row r="167" spans="1:3">
      <c r="A167" s="3" t="s">
        <v>3837</v>
      </c>
      <c r="B167" s="3" t="s">
        <v>3838</v>
      </c>
      <c r="C167" s="3" t="s">
        <v>3517</v>
      </c>
    </row>
    <row r="168" spans="1:3">
      <c r="A168" s="3" t="s">
        <v>3839</v>
      </c>
      <c r="B168" s="3" t="s">
        <v>3840</v>
      </c>
      <c r="C168" s="3" t="s">
        <v>3517</v>
      </c>
    </row>
    <row r="169" spans="1:3">
      <c r="A169" s="3" t="s">
        <v>3841</v>
      </c>
      <c r="B169" s="3" t="s">
        <v>3842</v>
      </c>
      <c r="C169" s="3" t="s">
        <v>3517</v>
      </c>
    </row>
    <row r="170" spans="1:3">
      <c r="A170" s="3" t="s">
        <v>3843</v>
      </c>
      <c r="B170" s="3" t="s">
        <v>3844</v>
      </c>
      <c r="C170" s="3" t="s">
        <v>3517</v>
      </c>
    </row>
    <row r="171" spans="1:3">
      <c r="A171" s="3" t="s">
        <v>3845</v>
      </c>
      <c r="B171" s="3" t="s">
        <v>3846</v>
      </c>
      <c r="C171" s="3" t="s">
        <v>3517</v>
      </c>
    </row>
    <row r="172" spans="1:3">
      <c r="A172" s="3" t="s">
        <v>3847</v>
      </c>
      <c r="B172" s="3" t="s">
        <v>3848</v>
      </c>
      <c r="C172" s="3" t="s">
        <v>3517</v>
      </c>
    </row>
    <row r="173" spans="1:3">
      <c r="A173" s="3" t="s">
        <v>3849</v>
      </c>
      <c r="B173" s="3" t="s">
        <v>3850</v>
      </c>
      <c r="C173" s="3" t="s">
        <v>3517</v>
      </c>
    </row>
    <row r="174" spans="1:3">
      <c r="A174" s="3" t="s">
        <v>3851</v>
      </c>
      <c r="B174" s="3" t="s">
        <v>3852</v>
      </c>
      <c r="C174" s="3" t="s">
        <v>3517</v>
      </c>
    </row>
    <row r="175" spans="1:3">
      <c r="A175" s="3" t="s">
        <v>3853</v>
      </c>
      <c r="B175" s="3" t="s">
        <v>3854</v>
      </c>
      <c r="C175" s="3" t="s">
        <v>3517</v>
      </c>
    </row>
    <row r="176" spans="1:3">
      <c r="A176" s="3" t="s">
        <v>3855</v>
      </c>
      <c r="B176" s="3" t="s">
        <v>3856</v>
      </c>
      <c r="C176" s="3" t="s">
        <v>3510</v>
      </c>
    </row>
    <row r="177" spans="1:3">
      <c r="A177" s="3" t="s">
        <v>3857</v>
      </c>
      <c r="B177" s="3" t="s">
        <v>3858</v>
      </c>
      <c r="C177" s="3" t="s">
        <v>3510</v>
      </c>
    </row>
    <row r="178" spans="1:3">
      <c r="A178" s="3" t="s">
        <v>3859</v>
      </c>
      <c r="B178" s="3" t="s">
        <v>3860</v>
      </c>
      <c r="C178" s="3" t="s">
        <v>3510</v>
      </c>
    </row>
    <row r="179" spans="1:3">
      <c r="A179" s="3" t="s">
        <v>3861</v>
      </c>
      <c r="B179" s="3" t="s">
        <v>3862</v>
      </c>
      <c r="C179" s="3" t="s">
        <v>3517</v>
      </c>
    </row>
    <row r="180" spans="1:3">
      <c r="A180" s="3" t="s">
        <v>3863</v>
      </c>
      <c r="B180" s="3" t="s">
        <v>3864</v>
      </c>
      <c r="C180" s="3" t="s">
        <v>3510</v>
      </c>
    </row>
    <row r="181" spans="1:3">
      <c r="A181" s="3" t="s">
        <v>3865</v>
      </c>
      <c r="B181" s="3" t="s">
        <v>3866</v>
      </c>
      <c r="C181" s="3" t="s">
        <v>3517</v>
      </c>
    </row>
    <row r="182" spans="1:3">
      <c r="A182" s="3" t="s">
        <v>3867</v>
      </c>
      <c r="B182" s="3" t="s">
        <v>3868</v>
      </c>
      <c r="C182" s="3" t="s">
        <v>3510</v>
      </c>
    </row>
    <row r="183" spans="1:3">
      <c r="A183" s="3" t="s">
        <v>3869</v>
      </c>
      <c r="B183" s="3" t="s">
        <v>3870</v>
      </c>
      <c r="C183" s="3" t="s">
        <v>3517</v>
      </c>
    </row>
    <row r="184" spans="1:3">
      <c r="A184" s="3" t="s">
        <v>3871</v>
      </c>
      <c r="B184" s="3" t="s">
        <v>3872</v>
      </c>
      <c r="C184" s="3" t="s">
        <v>3510</v>
      </c>
    </row>
    <row r="185" spans="1:3">
      <c r="A185" s="3" t="s">
        <v>3873</v>
      </c>
      <c r="B185" s="3" t="s">
        <v>3874</v>
      </c>
      <c r="C185" s="3" t="s">
        <v>3510</v>
      </c>
    </row>
    <row r="186" spans="1:3">
      <c r="A186" s="3" t="s">
        <v>3875</v>
      </c>
      <c r="B186" s="3" t="s">
        <v>3876</v>
      </c>
      <c r="C186" s="3" t="s">
        <v>3517</v>
      </c>
    </row>
    <row r="187" spans="1:3">
      <c r="A187" s="3" t="s">
        <v>3877</v>
      </c>
      <c r="B187" s="3" t="s">
        <v>3878</v>
      </c>
      <c r="C187" s="3" t="s">
        <v>3517</v>
      </c>
    </row>
    <row r="188" spans="1:3">
      <c r="A188" s="3" t="s">
        <v>3879</v>
      </c>
      <c r="B188" s="3" t="s">
        <v>3880</v>
      </c>
      <c r="C188" s="3" t="s">
        <v>3510</v>
      </c>
    </row>
    <row r="189" spans="1:3">
      <c r="A189" s="3" t="s">
        <v>3881</v>
      </c>
      <c r="B189" s="3" t="s">
        <v>3882</v>
      </c>
      <c r="C189" s="3" t="s">
        <v>3517</v>
      </c>
    </row>
    <row r="190" spans="1:3">
      <c r="A190" s="3" t="s">
        <v>3883</v>
      </c>
      <c r="B190" s="3" t="s">
        <v>3884</v>
      </c>
      <c r="C190" s="3" t="s">
        <v>3510</v>
      </c>
    </row>
    <row r="191" spans="1:3">
      <c r="A191" s="3" t="s">
        <v>3885</v>
      </c>
      <c r="B191" s="3" t="s">
        <v>3886</v>
      </c>
      <c r="C191" s="3" t="s">
        <v>3517</v>
      </c>
    </row>
    <row r="192" spans="1:3">
      <c r="A192" s="3" t="s">
        <v>3887</v>
      </c>
      <c r="B192" s="3" t="s">
        <v>3888</v>
      </c>
      <c r="C192" s="3" t="s">
        <v>3510</v>
      </c>
    </row>
  </sheetData>
  <sheetProtection algorithmName="SHA-512" hashValue="ET1KQPhAuGNEOrLnadzsCMt6TdA36xoSaeO+fhNnld0CeuqlYrvNomYYoq96zvBkyylfBmOzTZoza3TrLdDerw==" saltValue="uj48HpdQym8tnQ1j8TGWWw==" spinCount="100000" sheet="1" objects="1"/>
  <pageMargins left="0.75" right="0.75" top="1" bottom="1" header="0.5" footer="0.5"/>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xml version="1.0" encoding="utf-8"?>
<allowEditUser xmlns="https://web.wps.cn/et/2018/main" xmlns:s="http://schemas.openxmlformats.org/spreadsheetml/2006/main" hasInvisiblePropRange="0">
  <rangeList sheetStid="1" master="" otherUserPermission="visible"/>
  <rangeList sheetStid="2" master="" otherUserPermission="visible"/>
  <rangeList sheetStid="3" master="" otherUserPermission="visible"/>
  <rangeList sheetStid="4" master="" otherUserPermission="visible"/>
</allowEditUser>
</file>

<file path=customXml/itemProps1.xml><?xml version="1.0" encoding="utf-8"?>
<ds:datastoreItem xmlns:ds="http://schemas.openxmlformats.org/officeDocument/2006/customXml" ds:itemID="{5A5607D9-04D2-4DE1-AC0E-A7772F01BC71}">
  <ds:schemaRefs>
    <ds:schemaRef ds:uri="https://web.wps.cn/et/2018/main"/>
    <ds:schemaRef ds:uri="http://schemas.openxmlformats.org/spreadsheetml/2006/main"/>
  </ds:schemaRefs>
</ds:datastoreItem>
</file>

<file path=docProps/app.xml><?xml version="1.0" encoding="utf-8"?>
<Properties xmlns="http://schemas.openxmlformats.org/officeDocument/2006/extended-properties" xmlns:vt="http://schemas.openxmlformats.org/officeDocument/2006/docPropsVTypes">
  <Application>Tencent office</Application>
  <HeadingPairs>
    <vt:vector size="2" baseType="variant">
      <vt:variant>
        <vt:lpstr>工作表</vt:lpstr>
      </vt:variant>
      <vt:variant>
        <vt:i4>4</vt:i4>
      </vt:variant>
    </vt:vector>
  </HeadingPairs>
  <TitlesOfParts>
    <vt:vector size="4" baseType="lpstr">
      <vt:lpstr>新版客户货物运输委托书</vt:lpstr>
      <vt:lpstr>栏位填写说明</vt:lpstr>
      <vt:lpstr>新版仓库编码</vt:lpstr>
      <vt:lpstr>指定路线</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柚柚-Yomi</cp:lastModifiedBy>
  <dcterms:created xsi:type="dcterms:W3CDTF">2026-08-06T18:26:00Z</dcterms:created>
  <dcterms:modified xsi:type="dcterms:W3CDTF">2026-08-06T10:36:52Z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B6C681BF64084D61841FB4CF9640EFA0_12</vt:lpwstr>
  </property>
  <property fmtid="{D5CDD505-2E9C-101B-9397-08002B2CF9AE}" pid="3" name="KSOProductBuildVer">
    <vt:lpwstr>2052-12.1.0.20784</vt:lpwstr>
  </property>
</Properties>
</file>