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$-C09]#,##0.00"/>
    <numFmt numFmtId="165" formatCode="0_);[Red]\(0\)"/>
  </numFmts>
  <fonts count="47">
    <font>
      <name val="宋体"/>
      <charset val="134"/>
      <color theme="1"/>
      <sz val="11"/>
      <scheme val="minor"/>
    </font>
    <font>
      <name val="Times New Roman"/>
      <charset val="0"/>
      <color rgb="FF000000"/>
      <sz val="10"/>
    </font>
    <font>
      <name val="Times New Roman"/>
      <charset val="0"/>
      <b val="1"/>
      <color rgb="FF000000"/>
      <sz val="10"/>
    </font>
    <font>
      <name val="Lato"/>
      <charset val="0"/>
      <color theme="1"/>
      <sz val="10"/>
    </font>
    <font>
      <name val="等线"/>
      <charset val="134"/>
      <b val="1"/>
      <color theme="1" tint="0.349986266670736"/>
      <sz val="8"/>
    </font>
    <font>
      <name val="宋体"/>
      <charset val="134"/>
      <b val="1"/>
      <color theme="1" tint="0.349986266670736"/>
      <sz val="9"/>
      <scheme val="minor"/>
    </font>
    <font>
      <name val="等线"/>
      <charset val="134"/>
      <b val="1"/>
      <color theme="1"/>
      <sz val="9"/>
    </font>
    <font>
      <name val="等线"/>
      <charset val="134"/>
      <color theme="1"/>
      <sz val="9"/>
    </font>
    <font>
      <name val="等线"/>
      <charset val="134"/>
      <color theme="1"/>
      <sz val="8"/>
    </font>
    <font>
      <name val="Arial"/>
      <charset val="0"/>
      <color theme="1"/>
      <sz val="9"/>
    </font>
    <font>
      <name val="等线"/>
      <charset val="134"/>
      <b val="1"/>
      <color rgb="FFED420D"/>
      <sz val="9"/>
    </font>
    <font>
      <name val="Arial"/>
      <charset val="0"/>
      <b val="1"/>
      <color theme="1"/>
      <sz val="9"/>
    </font>
    <font>
      <name val="等线"/>
      <charset val="134"/>
      <b val="1"/>
      <color rgb="FFEB4E0F"/>
      <sz val="12"/>
    </font>
    <font>
      <name val="宋体"/>
      <charset val="134"/>
      <b val="1"/>
      <color theme="1"/>
      <sz val="9"/>
      <scheme val="minor"/>
    </font>
    <font>
      <name val="宋体"/>
      <charset val="134"/>
      <color theme="1"/>
      <sz val="9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1"/>
      <scheme val="minor"/>
    </font>
    <font>
      <name val="等线"/>
      <charset val="134"/>
      <b val="1"/>
      <color theme="0"/>
      <sz val="9"/>
    </font>
    <font>
      <name val="等线"/>
      <charset val="134"/>
      <color theme="1"/>
      <sz val="11"/>
    </font>
    <font>
      <name val="等线"/>
      <charset val="134"/>
      <b val="1"/>
      <color theme="1"/>
      <sz val="11"/>
    </font>
    <font>
      <name val="宋体"/>
      <charset val="134"/>
      <color theme="0" tint="-0.349986266670736"/>
      <sz val="8"/>
      <scheme val="minor"/>
    </font>
    <font>
      <name val="宋体"/>
      <charset val="134"/>
      <b val="1"/>
      <color theme="1"/>
      <sz val="10"/>
      <scheme val="minor"/>
    </font>
    <font>
      <name val="等线"/>
      <charset val="134"/>
      <b val="1"/>
      <color rgb="FFED420D"/>
      <sz val="12"/>
    </font>
    <font>
      <name val="等线"/>
      <charset val="134"/>
      <color theme="1"/>
      <sz val="10"/>
    </font>
    <font>
      <name val="宋体"/>
      <charset val="134"/>
      <color theme="1"/>
      <sz val="8"/>
      <scheme val="minor"/>
    </font>
    <font>
      <name val="微软雅黑"/>
      <charset val="134"/>
      <b val="1"/>
      <color theme="1"/>
      <sz val="12"/>
    </font>
    <font>
      <name val="微软雅黑"/>
      <charset val="134"/>
      <b val="1"/>
      <color theme="1"/>
      <sz val="9"/>
    </font>
    <font>
      <name val="宋体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0.09997863704336681"/>
      </bottom>
      <diagonal/>
    </border>
    <border>
      <left/>
      <right style="thin">
        <color theme="2" tint="-0.09997863704336681"/>
      </right>
      <top/>
      <bottom style="thin">
        <color theme="2" tint="-0.0999786370433668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5" applyAlignment="1">
      <alignment vertical="center"/>
    </xf>
    <xf numFmtId="0" fontId="34" fillId="0" borderId="5" applyAlignment="1">
      <alignment vertical="center"/>
    </xf>
    <xf numFmtId="0" fontId="35" fillId="0" borderId="6" applyAlignment="1">
      <alignment vertical="center"/>
    </xf>
    <xf numFmtId="0" fontId="35" fillId="0" borderId="0" applyAlignment="1">
      <alignment vertical="center"/>
    </xf>
    <xf numFmtId="0" fontId="36" fillId="7" borderId="7" applyAlignment="1">
      <alignment vertical="center"/>
    </xf>
    <xf numFmtId="0" fontId="37" fillId="8" borderId="8" applyAlignment="1">
      <alignment vertical="center"/>
    </xf>
    <xf numFmtId="0" fontId="38" fillId="8" borderId="7" applyAlignment="1">
      <alignment vertical="center"/>
    </xf>
    <xf numFmtId="0" fontId="39" fillId="9" borderId="9" applyAlignment="1">
      <alignment vertical="center"/>
    </xf>
    <xf numFmtId="0" fontId="40" fillId="0" borderId="10" applyAlignment="1">
      <alignment vertical="center"/>
    </xf>
    <xf numFmtId="0" fontId="41" fillId="0" borderId="1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top"/>
    </xf>
    <xf numFmtId="0" fontId="5" fillId="2" borderId="0" applyAlignment="1" pivotButton="0" quotePrefix="0" xfId="0">
      <alignment horizontal="left" vertical="top"/>
    </xf>
    <xf numFmtId="0" fontId="6" fillId="2" borderId="0" applyAlignment="1" pivotButton="0" quotePrefix="0" xfId="0">
      <alignment horizontal="right" vertical="top"/>
    </xf>
    <xf numFmtId="0" fontId="7" fillId="2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center"/>
    </xf>
    <xf numFmtId="14" fontId="7" fillId="2" borderId="0" applyAlignment="1" pivotButton="0" quotePrefix="0" xfId="0">
      <alignment horizontal="center" vertical="top"/>
    </xf>
    <xf numFmtId="0" fontId="9" fillId="2" borderId="0" applyAlignment="1" pivotButton="0" quotePrefix="0" xfId="0">
      <alignment horizontal="center" vertical="center"/>
    </xf>
    <xf numFmtId="14" fontId="10" fillId="2" borderId="0" applyAlignment="1" pivotButton="0" quotePrefix="0" xfId="0">
      <alignment horizontal="center" vertical="top"/>
    </xf>
    <xf numFmtId="0" fontId="11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12" fillId="2" borderId="0" applyAlignment="1" pivotButton="0" quotePrefix="0" xfId="0">
      <alignment vertical="center"/>
    </xf>
    <xf numFmtId="0" fontId="13" fillId="2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vertical="center"/>
    </xf>
    <xf numFmtId="0" fontId="13" fillId="2" borderId="0" applyAlignment="1" pivotButton="0" quotePrefix="0" xfId="0">
      <alignment vertical="center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vertical="center"/>
    </xf>
    <xf numFmtId="0" fontId="15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right" vertical="center"/>
    </xf>
    <xf numFmtId="164" fontId="18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right" vertical="center"/>
    </xf>
    <xf numFmtId="164" fontId="19" fillId="5" borderId="0" applyAlignment="1" pivotButton="0" quotePrefix="0" xfId="0">
      <alignment horizontal="center" vertical="center"/>
    </xf>
    <xf numFmtId="164" fontId="20" fillId="2" borderId="0" applyAlignment="1" pivotButton="0" quotePrefix="0" xfId="0">
      <alignment vertical="center"/>
    </xf>
    <xf numFmtId="165" fontId="6" fillId="2" borderId="0" applyAlignment="1" pivotButton="0" quotePrefix="0" xfId="0">
      <alignment horizontal="left" vertical="center" wrapText="1"/>
    </xf>
    <xf numFmtId="164" fontId="21" fillId="2" borderId="0" applyAlignment="1" pivotButton="0" quotePrefix="0" xfId="0">
      <alignment horizontal="right" vertical="center" indent="1"/>
    </xf>
    <xf numFmtId="0" fontId="22" fillId="2" borderId="0" applyAlignment="1" pivotButton="0" quotePrefix="0" xfId="0">
      <alignment vertical="center"/>
    </xf>
    <xf numFmtId="0" fontId="21" fillId="2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0" fontId="14" fillId="2" borderId="0" applyAlignment="1" pivotButton="0" quotePrefix="0" xfId="0">
      <alignment horizontal="left" vertical="center" indent="1"/>
    </xf>
    <xf numFmtId="0" fontId="14" fillId="2" borderId="0" applyAlignment="1" pivotButton="0" quotePrefix="0" xfId="0">
      <alignment horizontal="left" vertical="center" wrapText="1" indent="1"/>
    </xf>
    <xf numFmtId="0" fontId="23" fillId="2" borderId="0" applyAlignment="1" pivotButton="0" quotePrefix="0" xfId="0">
      <alignment vertical="top" wrapText="1"/>
    </xf>
    <xf numFmtId="0" fontId="23" fillId="2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4" fillId="2" borderId="0" applyAlignment="1" pivotButton="0" quotePrefix="0" xfId="0">
      <alignment vertical="top" wrapText="1"/>
    </xf>
    <xf numFmtId="0" fontId="25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vertical="center"/>
    </xf>
    <xf numFmtId="0" fontId="2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6" fillId="2" borderId="0" applyAlignment="1" pivotButton="0" quotePrefix="1" xfId="0">
      <alignment horizontal="left" vertical="center" wrapText="1"/>
    </xf>
    <xf numFmtId="0" fontId="0" fillId="0" borderId="2" pivotButton="0" quotePrefix="0" xfId="0"/>
    <xf numFmtId="164" fontId="7" fillId="2" borderId="2" applyAlignment="1" pivotButton="0" quotePrefix="0" xfId="0">
      <alignment horizontal="center" vertical="center"/>
    </xf>
    <xf numFmtId="164" fontId="18" fillId="4" borderId="0" applyAlignment="1" pivotButton="0" quotePrefix="0" xfId="0">
      <alignment horizontal="center" vertical="center"/>
    </xf>
    <xf numFmtId="164" fontId="19" fillId="5" borderId="0" applyAlignment="1" pivotButton="0" quotePrefix="0" xfId="0">
      <alignment horizontal="center" vertical="center"/>
    </xf>
    <xf numFmtId="164" fontId="20" fillId="2" borderId="0" applyAlignment="1" pivotButton="0" quotePrefix="0" xfId="0">
      <alignment vertical="center"/>
    </xf>
    <xf numFmtId="165" fontId="6" fillId="2" borderId="0" applyAlignment="1" pivotButton="0" quotePrefix="0" xfId="0">
      <alignment horizontal="left" vertical="center" wrapText="1"/>
    </xf>
    <xf numFmtId="164" fontId="21" fillId="2" borderId="0" applyAlignment="1" pivotButton="0" quotePrefix="0" xfId="0">
      <alignment horizontal="righ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1.%20&#28023;&#36816;&#25955;&#36135;&#34917;&#26009;&#27169;&#26495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  <cell r="E33">
            <v>0</v>
          </cell>
        </row>
        <row r="33">
          <cell r="H33">
            <v>0</v>
          </cell>
        </row>
        <row r="33">
          <cell r="J33">
            <v>0</v>
          </cell>
        </row>
      </sheetData>
      <sheetData sheetId="2">
        <row r="2">
          <cell r="I2">
            <v>0</v>
          </cell>
        </row>
        <row r="28">
          <cell r="A28" t="str">
            <v>补充柜号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5"/>
  <sheetViews>
    <sheetView tabSelected="1" workbookViewId="0">
      <selection activeCell="O19" sqref="O19"/>
    </sheetView>
  </sheetViews>
  <sheetFormatPr baseColWidth="8" defaultColWidth="7.9" defaultRowHeight="12.75"/>
  <cols>
    <col width="21" customWidth="1" style="5" min="1" max="1"/>
    <col width="9.6" customWidth="1" style="5" min="2" max="2"/>
    <col width="9.4" customWidth="1" style="5" min="3" max="3"/>
    <col width="8.199999999999999" customWidth="1" style="5" min="4" max="4"/>
    <col width="12.9" customWidth="1" style="5" min="5" max="5"/>
    <col width="14" customWidth="1" style="5" min="6" max="6"/>
    <col width="10.5" customWidth="1" style="5" min="7" max="7"/>
    <col width="5.7" customWidth="1" style="5" min="8" max="8"/>
    <col width="7.9" customWidth="1" style="5" min="9" max="16384"/>
  </cols>
  <sheetData>
    <row r="1" ht="48" customFormat="1" customHeight="1" s="1">
      <c r="A1" s="6" t="n"/>
      <c r="C1" s="6" t="n"/>
      <c r="D1" s="6" t="n"/>
      <c r="E1" s="6" t="n"/>
      <c r="F1" s="6" t="n"/>
      <c r="G1" s="6" t="n"/>
      <c r="H1" s="6" t="n"/>
    </row>
    <row r="2" ht="12.45" customFormat="1" customHeight="1" s="1">
      <c r="A2" s="7" t="inlineStr">
        <is>
          <t>B1901, WANGUO CITY, LONGGANG DISTRICT, SHENZHEN,  CHINA</t>
        </is>
      </c>
      <c r="B2" s="7" t="n"/>
      <c r="C2" s="7" t="n"/>
      <c r="D2" s="8" t="n"/>
      <c r="E2" s="5" t="n"/>
      <c r="F2" s="9" t="inlineStr">
        <is>
          <t>INVOICE NO.</t>
        </is>
      </c>
      <c r="G2" s="10">
        <f>[1]开船提单!I2&amp;"A"</f>
        <v/>
      </c>
      <c r="H2" s="6" t="n"/>
    </row>
    <row r="3" ht="12.45" customFormat="1" customHeight="1" s="1">
      <c r="A3" s="7" t="inlineStr">
        <is>
          <t>0755-84872237</t>
        </is>
      </c>
      <c r="B3" s="11" t="n"/>
      <c r="C3" s="11" t="n"/>
      <c r="D3" s="6" t="n"/>
      <c r="E3" s="5" t="n"/>
      <c r="F3" s="9" t="inlineStr">
        <is>
          <t>ISSUE DATE</t>
        </is>
      </c>
      <c r="G3" s="12">
        <f>TODAY()</f>
        <v/>
      </c>
      <c r="H3" s="6" t="n"/>
    </row>
    <row r="4" ht="12.45" customFormat="1" customHeight="1" s="1">
      <c r="A4" s="7" t="inlineStr">
        <is>
          <t>WWW.MYDIDADI.COM</t>
        </is>
      </c>
      <c r="B4" s="11" t="n"/>
      <c r="C4" s="11" t="n"/>
      <c r="D4" s="13" t="n"/>
      <c r="E4" s="5" t="n"/>
      <c r="F4" s="9" t="inlineStr">
        <is>
          <t>DUE DATE</t>
        </is>
      </c>
      <c r="G4" s="14" t="n">
        <v>45380</v>
      </c>
      <c r="H4" s="6" t="n"/>
    </row>
    <row r="5" ht="9" customFormat="1" customHeight="1" s="1">
      <c r="A5" s="15" t="n"/>
      <c r="B5" s="15" t="n"/>
      <c r="C5" s="16" t="n"/>
      <c r="D5" s="16" t="n"/>
      <c r="E5" s="15" t="n"/>
      <c r="F5" s="15" t="n"/>
      <c r="G5" s="16" t="n"/>
      <c r="H5" s="6" t="n"/>
    </row>
    <row r="6" customFormat="1" s="1">
      <c r="A6" s="13" t="n"/>
      <c r="B6" s="13" t="n"/>
      <c r="C6" s="13" t="n"/>
      <c r="D6" s="13" t="n"/>
      <c r="E6" s="13" t="n"/>
      <c r="F6" s="13" t="n"/>
      <c r="G6" s="13" t="n"/>
      <c r="H6" s="6" t="n"/>
      <c r="I6" s="5" t="n"/>
      <c r="J6" s="5" t="n"/>
      <c r="K6" s="5" t="n"/>
      <c r="L6" s="5" t="n"/>
      <c r="M6" s="5" t="n"/>
      <c r="N6" s="5" t="n"/>
      <c r="O6" s="5" t="n"/>
      <c r="P6" s="52" t="n"/>
      <c r="Q6" s="52" t="n"/>
      <c r="R6" s="52" t="n"/>
    </row>
    <row r="7" ht="16.05" customFormat="1" customHeight="1" s="1">
      <c r="A7" s="17" t="inlineStr">
        <is>
          <t>BILL TO</t>
        </is>
      </c>
      <c r="B7" s="18" t="n"/>
      <c r="C7" s="19" t="n"/>
      <c r="D7" s="19" t="n"/>
      <c r="E7" s="20" t="inlineStr">
        <is>
          <t>ORDER NUMBER</t>
        </is>
      </c>
      <c r="F7" s="20" t="n"/>
      <c r="G7" s="20" t="inlineStr">
        <is>
          <t>BILL NUMBER</t>
        </is>
      </c>
      <c r="H7" s="6" t="n"/>
      <c r="I7" s="5" t="n"/>
      <c r="J7" s="5" t="n"/>
      <c r="K7" s="53" t="n"/>
      <c r="L7" s="5" t="n"/>
      <c r="M7" s="5" t="n"/>
      <c r="N7" s="5" t="n"/>
      <c r="O7" s="5" t="n"/>
      <c r="P7" s="52" t="n"/>
      <c r="Q7" s="52" t="n"/>
      <c r="R7" s="52" t="n"/>
    </row>
    <row r="8" ht="16.05" customFormat="1" customHeight="1" s="1">
      <c r="A8" s="21" t="n"/>
      <c r="B8" s="18" t="n"/>
      <c r="C8" s="18" t="n"/>
      <c r="D8" s="19" t="n"/>
      <c r="E8" s="22">
        <f>[1]开船提单!I2</f>
        <v/>
      </c>
      <c r="F8" s="22" t="n"/>
      <c r="G8" s="22">
        <f>[1]开船提单!I2</f>
        <v/>
      </c>
      <c r="H8" s="6" t="n"/>
      <c r="I8" s="5" t="n"/>
      <c r="J8" s="5" t="n"/>
      <c r="K8" s="54" t="n"/>
      <c r="L8" s="5" t="n"/>
      <c r="M8" s="5" t="n"/>
      <c r="N8" s="5" t="n"/>
      <c r="O8" s="5" t="n"/>
      <c r="P8" s="52" t="n"/>
      <c r="Q8" s="52" t="n"/>
      <c r="R8" s="52" t="n"/>
    </row>
    <row r="9" ht="16.05" customFormat="1" customHeight="1" s="1">
      <c r="A9" s="23" t="inlineStr">
        <is>
          <t>Shawn Mann Enterprise（公司名）</t>
        </is>
      </c>
      <c r="B9" s="24" t="n"/>
      <c r="C9" s="24" t="n"/>
      <c r="D9" s="19" t="n"/>
      <c r="E9" s="20" t="inlineStr">
        <is>
          <t>CONTAINER NUMBER</t>
        </is>
      </c>
      <c r="F9" s="20" t="n"/>
      <c r="G9" s="20" t="inlineStr">
        <is>
          <t>VESSEL</t>
        </is>
      </c>
      <c r="H9" s="6" t="n"/>
      <c r="I9" s="5" t="n"/>
      <c r="J9" s="5" t="n"/>
      <c r="K9" s="55" t="n"/>
    </row>
    <row r="10" ht="16.05" customFormat="1" customHeight="1" s="2">
      <c r="A10" s="20" t="inlineStr">
        <is>
          <t>Shawn（客户人名）</t>
        </is>
      </c>
      <c r="B10" s="25" t="n"/>
      <c r="C10" s="25" t="n"/>
      <c r="D10" s="19" t="n"/>
      <c r="E10" s="22">
        <f>[1]开船提单!A28</f>
        <v/>
      </c>
      <c r="F10" s="22" t="n"/>
      <c r="G10" s="22">
        <f>[1]开船提单!A23</f>
        <v/>
      </c>
      <c r="H10" s="6" t="n"/>
      <c r="I10" s="5" t="n"/>
      <c r="J10" s="5" t="n"/>
      <c r="K10" s="54" t="n"/>
    </row>
    <row r="11" ht="16.05" customFormat="1" customHeight="1" s="1">
      <c r="A11" s="20" t="inlineStr">
        <is>
          <t>(+1)123459731（联系方式）</t>
        </is>
      </c>
      <c r="B11" s="25" t="n"/>
      <c r="C11" s="25" t="n"/>
      <c r="D11" s="19" t="n"/>
      <c r="E11" s="20" t="inlineStr">
        <is>
          <t>POL</t>
        </is>
      </c>
      <c r="F11" s="20" t="n"/>
      <c r="G11" s="20" t="inlineStr">
        <is>
          <t>POD</t>
        </is>
      </c>
      <c r="H11" s="6" t="n"/>
    </row>
    <row r="12" ht="16.05" customFormat="1" customHeight="1" s="1">
      <c r="A12" s="21" t="n"/>
      <c r="B12" s="25" t="n"/>
      <c r="C12" s="25" t="n"/>
      <c r="D12" s="19" t="n"/>
      <c r="E12" s="22">
        <f>[1]开船提单!D23</f>
        <v/>
      </c>
      <c r="F12" s="22" t="n"/>
      <c r="G12" s="22">
        <f>[1]开船提单!D25</f>
        <v/>
      </c>
      <c r="H12" s="6" t="n"/>
    </row>
    <row r="13" ht="16.05" customFormat="1" customHeight="1" s="1">
      <c r="A13" s="18" t="n"/>
      <c r="B13" s="18" t="n"/>
      <c r="C13" s="18" t="n"/>
      <c r="D13" s="19" t="n"/>
      <c r="E13" s="20" t="inlineStr">
        <is>
          <t>QUANTITY</t>
        </is>
      </c>
      <c r="F13" s="20" t="n"/>
      <c r="G13" s="20" t="inlineStr">
        <is>
          <t>UNIT</t>
        </is>
      </c>
      <c r="H13" s="6" t="n"/>
    </row>
    <row r="14" ht="16.05" customFormat="1" customHeight="1" s="3">
      <c r="A14" s="21" t="n"/>
      <c r="B14" s="18" t="n"/>
      <c r="C14" s="18" t="n"/>
      <c r="D14" s="19" t="n"/>
      <c r="E14" s="22" t="n"/>
      <c r="F14" s="22" t="n"/>
      <c r="G14" s="22" t="n"/>
      <c r="H14" s="22" t="n"/>
    </row>
    <row r="15" ht="16.05" customFormat="1" customHeight="1" s="3">
      <c r="A15" s="21" t="n"/>
      <c r="B15" s="18" t="n"/>
      <c r="C15" s="18" t="n"/>
      <c r="D15" s="19" t="n"/>
      <c r="E15" s="20" t="inlineStr">
        <is>
          <t>VOLUME</t>
        </is>
      </c>
      <c r="F15" s="20" t="n"/>
      <c r="G15" s="20" t="inlineStr">
        <is>
          <t>GROSS WEIGHT</t>
        </is>
      </c>
      <c r="H15" s="6" t="n"/>
    </row>
    <row r="16" ht="16.05" customFormat="1" customHeight="1" s="3">
      <c r="A16" s="21" t="n"/>
      <c r="B16" s="18" t="n"/>
      <c r="C16" s="18" t="n"/>
      <c r="D16" s="19" t="n"/>
      <c r="E16" s="22" t="n"/>
      <c r="F16" s="22" t="n"/>
      <c r="G16" s="22" t="n"/>
      <c r="H16" s="6" t="n"/>
    </row>
    <row r="17" ht="16.05" customFormat="1" customHeight="1" s="3">
      <c r="A17" s="13" t="n"/>
      <c r="B17" s="13" t="n"/>
      <c r="C17" s="13" t="n"/>
      <c r="D17" s="13" t="n"/>
      <c r="E17" s="13" t="n"/>
      <c r="F17" s="13" t="n"/>
      <c r="G17" s="13" t="n"/>
      <c r="H17" s="6" t="n"/>
    </row>
    <row r="18" ht="34.2" customFormat="1" customHeight="1" s="3">
      <c r="A18" s="26" t="inlineStr">
        <is>
          <t>ITEM</t>
        </is>
      </c>
      <c r="C18" s="26" t="inlineStr">
        <is>
          <t>DESCRIPTION</t>
        </is>
      </c>
      <c r="F18" s="26" t="inlineStr">
        <is>
          <t>CURRENCY</t>
        </is>
      </c>
      <c r="G18" s="26" t="inlineStr">
        <is>
          <t>AMOUNT</t>
        </is>
      </c>
      <c r="H18" s="6" t="n"/>
    </row>
    <row r="19" ht="40.05" customFormat="1" customHeight="1" s="3">
      <c r="A19" s="27" t="inlineStr">
        <is>
          <t>FREIGHT</t>
        </is>
      </c>
      <c r="B19" s="59" t="n"/>
      <c r="C19" s="27" t="inlineStr">
        <is>
          <t>Duty Excluded</t>
        </is>
      </c>
      <c r="D19" s="59" t="n"/>
      <c r="E19" s="59" t="n"/>
      <c r="F19" s="27" t="inlineStr">
        <is>
          <t>USD</t>
        </is>
      </c>
      <c r="G19" s="60" t="n">
        <v>900</v>
      </c>
      <c r="H19" s="6" t="n"/>
    </row>
    <row r="20" ht="40.05" customFormat="1" customHeight="1" s="3">
      <c r="A20" s="27" t="n"/>
      <c r="B20" s="59" t="n"/>
      <c r="C20" s="27" t="n"/>
      <c r="D20" s="59" t="n"/>
      <c r="E20" s="59" t="n"/>
      <c r="F20" s="27" t="n"/>
      <c r="G20" s="60" t="n"/>
      <c r="H20" s="6" t="n"/>
    </row>
    <row r="21" ht="40.05" customFormat="1" customHeight="1" s="3">
      <c r="A21" s="27" t="n"/>
      <c r="B21" s="59" t="n"/>
      <c r="C21" s="27" t="n"/>
      <c r="D21" s="59" t="n"/>
      <c r="E21" s="59" t="n"/>
      <c r="F21" s="27" t="n"/>
      <c r="G21" s="60" t="n"/>
      <c r="H21" s="6" t="n"/>
    </row>
    <row r="22" ht="15" customFormat="1" customHeight="1" s="3">
      <c r="A22" s="5" t="n"/>
      <c r="B22" s="29" t="n"/>
      <c r="C22" s="30" t="n"/>
      <c r="D22" s="31" t="n"/>
      <c r="E22" s="32" t="n"/>
      <c r="F22" s="32" t="n"/>
      <c r="G22" s="5" t="n"/>
      <c r="H22" s="6" t="n"/>
    </row>
    <row r="23" ht="19.5" customFormat="1" customHeight="1" s="3">
      <c r="A23" s="17" t="inlineStr">
        <is>
          <t>ACCOUNT DETAILS</t>
        </is>
      </c>
      <c r="B23" s="32" t="n"/>
      <c r="C23" s="5" t="n"/>
      <c r="D23" s="31" t="n"/>
      <c r="E23" s="5" t="n"/>
      <c r="F23" s="33" t="inlineStr">
        <is>
          <t>SUBTOTAL</t>
        </is>
      </c>
      <c r="G23" s="61">
        <f>SUM(G19:G21)</f>
        <v/>
      </c>
      <c r="H23" s="6" t="n"/>
    </row>
    <row r="24" ht="19.8" customFormat="1" customHeight="1" s="3">
      <c r="A24" s="35" t="inlineStr">
        <is>
          <t xml:space="preserve">BENEFICIARY NAME: </t>
        </is>
      </c>
      <c r="B24" s="36" t="inlineStr">
        <is>
          <t>DIDADI LOGISTICS TECH LIMITED</t>
        </is>
      </c>
      <c r="F24" s="33" t="n"/>
      <c r="G24" s="61" t="n"/>
      <c r="H24" s="6" t="n"/>
      <c r="J24" s="56" t="n"/>
    </row>
    <row r="25" ht="26" customFormat="1" customHeight="1" s="3">
      <c r="A25" s="35" t="inlineStr">
        <is>
          <t xml:space="preserve">ACCOUNT  NO: </t>
        </is>
      </c>
      <c r="B25" s="58" t="inlineStr">
        <is>
          <t>040300774838</t>
        </is>
      </c>
      <c r="F25" s="37" t="inlineStr">
        <is>
          <t>TOTAL</t>
        </is>
      </c>
      <c r="G25" s="62">
        <f>G23-G24</f>
        <v/>
      </c>
      <c r="H25" s="6" t="n"/>
    </row>
    <row r="26" ht="18.6" customFormat="1" customHeight="1" s="4">
      <c r="A26" s="35" t="inlineStr">
        <is>
          <t xml:space="preserve">BANK NAME: </t>
        </is>
      </c>
      <c r="B26" s="36" t="inlineStr">
        <is>
          <t>HSBC</t>
        </is>
      </c>
      <c r="H26" s="6" t="n"/>
      <c r="I26" s="5" t="n"/>
      <c r="J26" s="5" t="n"/>
      <c r="K26" s="5" t="n"/>
      <c r="L26" s="5" t="n"/>
      <c r="M26" s="5" t="n"/>
      <c r="N26" s="5" t="n"/>
      <c r="O26" s="5" t="n"/>
      <c r="P26" s="5" t="n"/>
      <c r="Q26" s="57" t="n"/>
    </row>
    <row r="27" ht="18.6" customFormat="1" customHeight="1" s="1">
      <c r="A27" s="35" t="inlineStr">
        <is>
          <t xml:space="preserve">SWIFT CODE: </t>
        </is>
      </c>
      <c r="B27" s="35" t="inlineStr">
        <is>
          <t>HSBCHKHHHKH</t>
        </is>
      </c>
      <c r="F27" s="63" t="n"/>
      <c r="G27" s="63" t="n"/>
      <c r="H27" s="6" t="n"/>
      <c r="I27" s="5" t="n"/>
      <c r="J27" s="5" t="n"/>
      <c r="K27" s="5" t="n"/>
      <c r="L27" s="5" t="n"/>
      <c r="M27" s="5" t="n"/>
      <c r="N27" s="5" t="n"/>
      <c r="O27" s="5" t="n"/>
      <c r="P27" s="5" t="n"/>
      <c r="Q27" s="57" t="n"/>
    </row>
    <row r="28" ht="18.6" customFormat="1" customHeight="1" s="1">
      <c r="A28" s="35" t="inlineStr">
        <is>
          <t>BENEFICIAL BANK CODE:</t>
        </is>
      </c>
      <c r="B28" s="64" t="inlineStr">
        <is>
          <t>004</t>
        </is>
      </c>
      <c r="F28" s="32" t="n"/>
      <c r="G28" s="65" t="n"/>
      <c r="H28" s="6" t="n"/>
    </row>
    <row r="29" ht="28.2" customFormat="1" customHeight="1" s="1">
      <c r="A29" s="35" t="inlineStr">
        <is>
          <t xml:space="preserve">BANK ADDRESS: </t>
        </is>
      </c>
      <c r="B29" s="36" t="inlineStr">
        <is>
          <t>1 QUEEN,ROAD,CENTRAL,HONG KONG</t>
        </is>
      </c>
      <c r="F29" s="32" t="n"/>
      <c r="G29" s="65" t="n"/>
      <c r="H29" s="6" t="n"/>
    </row>
    <row r="30" ht="16.05" customFormat="1" customHeight="1" s="1">
      <c r="A30" s="35" t="inlineStr">
        <is>
          <t>BUSINESS ADDRESS:</t>
        </is>
      </c>
      <c r="B30" s="36" t="inlineStr">
        <is>
          <t>ROOM 1205 12/F TAI SANG BANK BUILDING 130-132 DES VOEUX ROAD CENTRAL HK</t>
        </is>
      </c>
      <c r="H30" s="6" t="n"/>
    </row>
    <row r="31" ht="16.05" customFormat="1" customHeight="1" s="1">
      <c r="A31" s="42" t="inlineStr">
        <is>
          <t>NOTES</t>
        </is>
      </c>
      <c r="B31" s="43" t="n"/>
      <c r="C31" s="44" t="n"/>
      <c r="D31" s="30" t="n"/>
      <c r="E31" s="30" t="n"/>
      <c r="F31" s="29" t="n"/>
      <c r="G31" s="65" t="n"/>
      <c r="H31" s="6" t="n"/>
    </row>
    <row r="32" ht="27.45" customFormat="1" customHeight="1" s="1">
      <c r="A32" s="45" t="inlineStr">
        <is>
          <t xml:space="preserve">1. Please add USD 25.00 when make remittance, or please bare the remittance charges by your esteemed company. </t>
        </is>
      </c>
      <c r="F32" s="46" t="n"/>
      <c r="G32" s="65" t="n"/>
      <c r="H32" s="6" t="n"/>
    </row>
    <row r="33" ht="20.55" customFormat="1" customHeight="1" s="1">
      <c r="A33" s="45" t="inlineStr">
        <is>
          <t>2.Please remark the invoice NO. when make the remittance&amp; send us the remittance receipt.</t>
        </is>
      </c>
      <c r="F33" s="47" t="n"/>
      <c r="G33" s="65" t="n"/>
      <c r="H33" s="6" t="n"/>
    </row>
    <row r="34" ht="37.2" customFormat="1" customHeight="1" s="1">
      <c r="A34" s="48" t="n"/>
      <c r="B34" s="48" t="n"/>
      <c r="C34" s="48" t="n"/>
      <c r="D34" s="49" t="n"/>
      <c r="E34" s="49" t="n"/>
      <c r="F34" s="6" t="n"/>
      <c r="G34" s="6" t="n"/>
      <c r="H34" s="6" t="n"/>
    </row>
    <row r="35" ht="13.5" customFormat="1" customHeight="1" s="1">
      <c r="A35" s="6" t="n"/>
      <c r="B35" s="6" t="n"/>
      <c r="C35" s="6" t="n"/>
      <c r="D35" s="6" t="n"/>
      <c r="E35" s="6" t="n"/>
      <c r="F35" s="6" t="n"/>
      <c r="G35" s="6" t="n"/>
      <c r="H35" s="6" t="n"/>
    </row>
    <row r="36" ht="13.5" customFormat="1" customHeight="1" s="1">
      <c r="A36" s="50" t="n"/>
      <c r="B36" s="50" t="n"/>
      <c r="C36" s="50" t="n"/>
      <c r="D36" s="50" t="n"/>
      <c r="E36" s="50" t="n"/>
      <c r="F36" s="50" t="n"/>
      <c r="G36" s="50" t="n"/>
      <c r="H36" s="51" t="n"/>
    </row>
    <row r="37" ht="13.5" customFormat="1" customHeight="1" s="1">
      <c r="A37" s="5" t="n"/>
      <c r="B37" s="5" t="n"/>
      <c r="C37" s="5" t="n"/>
      <c r="D37" s="5" t="n"/>
      <c r="E37" s="5" t="n"/>
      <c r="F37" s="5" t="n"/>
      <c r="G37" s="5" t="n"/>
      <c r="H37" s="5" t="n"/>
    </row>
    <row r="38" ht="13.5" customFormat="1" customHeight="1" s="1">
      <c r="A38" s="5" t="n"/>
      <c r="B38" s="5" t="n"/>
      <c r="C38" s="5" t="n"/>
      <c r="D38" s="5" t="n"/>
      <c r="E38" s="5" t="n"/>
      <c r="F38" s="5" t="n"/>
      <c r="G38" s="5" t="n"/>
      <c r="H38" s="5" t="n"/>
    </row>
    <row r="39" ht="13.5" customFormat="1" customHeight="1" s="1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13.5" customFormat="1" customHeight="1" s="1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13.5" customFormat="1" customHeight="1" s="1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13.5" customFormat="1" customHeight="1" s="1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13.5" customFormat="1" customHeight="1" s="1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13.5" customFormat="1" customHeight="1" s="1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13.5" customFormat="1" customHeight="1" s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</sheetData>
  <mergeCells count="18">
    <mergeCell ref="A20:B20"/>
    <mergeCell ref="A21:B21"/>
    <mergeCell ref="B27:E27"/>
    <mergeCell ref="C20:E20"/>
    <mergeCell ref="C19:E19"/>
    <mergeCell ref="A19:B19"/>
    <mergeCell ref="A33:E33"/>
    <mergeCell ref="C18:E18"/>
    <mergeCell ref="B29:E29"/>
    <mergeCell ref="C21:E21"/>
    <mergeCell ref="B25:E25"/>
    <mergeCell ref="B26:G26"/>
    <mergeCell ref="B24:E24"/>
    <mergeCell ref="A1:B1"/>
    <mergeCell ref="A32:E32"/>
    <mergeCell ref="A18:B18"/>
    <mergeCell ref="B30:G30"/>
    <mergeCell ref="B28:E28"/>
  </mergeCells>
  <pageMargins left="0.354166666666667" right="0.196527777777778" top="0.472222222222222" bottom="0.275" header="0.275" footer="0.118055555555556"/>
  <pageSetup orientation="portrait" paperSize="9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2026-08-07T12:10:00Z</dcterms:created>
  <dcterms:modified xsi:type="dcterms:W3CDTF">2026-08-17T13:56:27Z</dcterms:modified>
  <cp:lastModifiedBy>柚柚-Yomi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EB6D3B5793AB4880983F1F857CA06FA6_11</vt:lpwstr>
  </property>
  <property name="KSOProductBuildVer" fmtid="{D5CDD505-2E9C-101B-9397-08002B2CF9AE}" pid="3">
    <vt:lpwstr>2052-12.1.0.20784</vt:lpwstr>
  </property>
</Properties>
</file>