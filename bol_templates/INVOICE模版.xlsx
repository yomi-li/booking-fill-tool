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6EB7E44-6C6F-4B01-916D-4FE376B7E6C8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3" i="1"/>
  <c r="G16" i="1"/>
  <c r="E16" i="1"/>
  <c r="G14" i="1"/>
  <c r="E14" i="1"/>
  <c r="G12" i="1"/>
  <c r="E12" i="1"/>
  <c r="G10" i="1"/>
  <c r="E10" i="1"/>
  <c r="G8" i="1"/>
  <c r="E8" i="1"/>
  <c r="G3" i="1"/>
  <c r="G2" i="1"/>
</calcChain>
</file>

<file path=xl/sharedStrings.xml><?xml version="1.0" encoding="utf-8"?>
<sst xmlns="http://schemas.openxmlformats.org/spreadsheetml/2006/main" count="45" uniqueCount="45">
  <si>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</si>
  <si>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</si>
  <si>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</si>
  <si>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</si>
  <si>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</si>
  <si>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</si>
  <si>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</si>
  <si>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</si>
  <si>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</si>
  <si>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Shawn Mann Enterprise（公司名）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</si>
  <si>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</si>
  <si>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</si>
  <si>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</si>
  <si>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</si>
  <si>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</si>
  <si>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</si>
  <si>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</si>
  <si>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</si>
  <si>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</si>
  <si>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</si>
  <si>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</si>
  <si>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</si>
  <si>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FREIGHT</t>
  </si>
  <si>
    <t>Duty Excluded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</si>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</sst>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17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0" fontId="18" fillId="5" borderId="0" xfId="0" applyFont="1" applyFill="1" applyAlignment="1">
      <alignment horizontal="center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6</xdr:col>
      <xdr:colOff>1576070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84568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15875</xdr:colOff>
      <xdr:row>33</xdr:row>
      <xdr:rowOff>0</xdr:rowOff>
    </xdr:from>
    <xdr:to>
      <xdr:col>6</xdr:col>
      <xdr:colOff>1528445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71695" y="8754745"/>
          <a:ext cx="257937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  <cell r="E33">
            <v>0</v>
          </cell>
          <cell r="H33">
            <v>0</v>
          </cell>
          <cell r="J33">
            <v>0</v>
          </cell>
        </row>
      </sheetData>
      <sheetData sheetId="2">
        <row r="2">
          <cell r="I2">
            <v>0</v>
          </cell>
        </row>
        <row r="28">
          <cell r="A28" t="str">
            <v>补充柜号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workbookViewId="0">
      <selection activeCell="O20" sqref="O20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20.625" style="4" customWidth="1"/>
    <col min="8" max="8" width="7.875" style="4" customWidth="1"/>
    <col min="9" max="16384" width="7.875" style="4"/>
  </cols>
  <sheetData>
    <row r="1" spans="1:17" customFormat="1" ht="48" customHeight="1" x14ac:dyDescent="0.15">
      <c r="A1" s="49"/>
      <c r="B1" s="49"/>
      <c r="C1" s="5"/>
      <c r="D1" s="5"/>
      <c r="E1" s="5"/>
      <c r="F1" s="5"/>
      <c r="G1" s="5"/>
    </row>
    <row r="2" spans="1:17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tr">
        <f>[1]开船提单!I2&amp;"A"</f>
        <v>0A</v>
      </c>
    </row>
    <row r="3" spans="1:17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f ca="1">TODAY()</f>
        <v>46254</v>
      </c>
    </row>
    <row r="4" spans="1:17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</row>
    <row r="5" spans="1:17" customFormat="1" ht="9" customHeight="1" x14ac:dyDescent="0.15">
      <c r="A5" s="14"/>
      <c r="B5" s="14"/>
      <c r="C5" s="15"/>
      <c r="D5" s="15"/>
      <c r="E5" s="14"/>
      <c r="F5" s="14"/>
      <c r="G5" s="15"/>
    </row>
    <row r="6" spans="1:17" customFormat="1" ht="12.75" customHeight="1" x14ac:dyDescent="0.15">
      <c r="A6" s="12"/>
      <c r="B6" s="12"/>
      <c r="C6" s="12"/>
      <c r="D6" s="12"/>
      <c r="E6" s="12"/>
      <c r="F6" s="12"/>
      <c r="G6" s="12"/>
      <c r="H6" s="4"/>
      <c r="I6" s="4"/>
      <c r="J6" s="4"/>
      <c r="K6" s="4"/>
      <c r="L6" s="4"/>
      <c r="M6" s="4"/>
      <c r="N6" s="4"/>
      <c r="O6" s="43"/>
      <c r="P6" s="43"/>
      <c r="Q6" s="43"/>
    </row>
    <row r="7" spans="1:17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4"/>
      <c r="I7" s="4"/>
      <c r="J7" s="44"/>
      <c r="K7" s="4"/>
      <c r="L7" s="4"/>
      <c r="M7" s="4"/>
      <c r="N7" s="4"/>
      <c r="O7" s="43"/>
      <c r="P7" s="43"/>
      <c r="Q7" s="43"/>
    </row>
    <row r="8" spans="1:17" customFormat="1" ht="16.350000000000001" customHeight="1" x14ac:dyDescent="0.15">
      <c r="A8" s="20"/>
      <c r="B8" s="17"/>
      <c r="C8" s="17"/>
      <c r="D8" s="18"/>
      <c r="E8" s="59">
        <f>[1]开船提单!I2</f>
        <v>0</v>
      </c>
      <c r="F8" s="21"/>
      <c r="G8" s="59">
        <f>[1]开船提单!I2</f>
        <v>0</v>
      </c>
      <c r="H8" s="4"/>
      <c r="I8" s="4"/>
      <c r="J8" s="45"/>
      <c r="K8" s="4"/>
      <c r="L8" s="4"/>
      <c r="M8" s="4"/>
      <c r="N8" s="4"/>
      <c r="O8" s="43"/>
      <c r="P8" s="43"/>
      <c r="Q8" s="43"/>
    </row>
    <row r="9" spans="1:17" customFormat="1" ht="16.350000000000001" customHeight="1" x14ac:dyDescent="0.15">
      <c r="A9" s="56" t="s">
        <v>9</v>
      </c>
      <c r="B9" s="56"/>
      <c r="C9" s="56"/>
      <c r="D9" s="56"/>
      <c r="E9" s="19" t="s">
        <v>10</v>
      </c>
      <c r="F9" s="19"/>
      <c r="G9" s="19" t="s">
        <v>11</v>
      </c>
      <c r="H9" s="4"/>
      <c r="I9" s="4"/>
      <c r="J9" s="46"/>
    </row>
    <row r="10" spans="1:17" s="1" customFormat="1" ht="16.350000000000001" customHeight="1" x14ac:dyDescent="0.15">
      <c r="A10" s="56"/>
      <c r="B10" s="56"/>
      <c r="C10" s="56"/>
      <c r="D10" s="56"/>
      <c r="E10" s="59" t="str">
        <f>[1]开船提单!A28</f>
        <v>补充柜号</v>
      </c>
      <c r="F10" s="21"/>
      <c r="G10" s="59">
        <f>[1]开船提单!A23</f>
        <v>0</v>
      </c>
      <c r="H10" s="4"/>
      <c r="I10" s="4"/>
      <c r="J10" s="45"/>
    </row>
    <row r="11" spans="1:17" customFormat="1" ht="16.350000000000001" customHeight="1" x14ac:dyDescent="0.15">
      <c r="A11" s="56"/>
      <c r="B11" s="56"/>
      <c r="C11" s="56"/>
      <c r="D11" s="56"/>
      <c r="E11" s="19" t="s">
        <v>12</v>
      </c>
      <c r="F11" s="19"/>
      <c r="G11" s="19" t="s">
        <v>13</v>
      </c>
    </row>
    <row r="12" spans="1:17" customFormat="1" ht="16.350000000000001" customHeight="1" x14ac:dyDescent="0.15">
      <c r="A12" s="56"/>
      <c r="B12" s="56"/>
      <c r="C12" s="56"/>
      <c r="D12" s="56"/>
      <c r="E12" s="59">
        <f>[1]开船提单!D23</f>
        <v>0</v>
      </c>
      <c r="F12" s="21"/>
      <c r="G12" s="59">
        <f>[1]开船提单!D25</f>
        <v>0</v>
      </c>
    </row>
    <row r="13" spans="1:17" customFormat="1" ht="16.149999999999999" customHeight="1" x14ac:dyDescent="0.15">
      <c r="A13" s="56"/>
      <c r="B13" s="56"/>
      <c r="C13" s="56"/>
      <c r="D13" s="56"/>
      <c r="E13" s="19" t="s">
        <v>14</v>
      </c>
      <c r="F13" s="19"/>
      <c r="G13" s="19" t="s">
        <v>15</v>
      </c>
    </row>
    <row r="14" spans="1:17" s="2" customFormat="1" ht="16.350000000000001" customHeight="1" x14ac:dyDescent="0.15">
      <c r="A14" s="56"/>
      <c r="B14" s="56"/>
      <c r="C14" s="56"/>
      <c r="D14" s="56"/>
      <c r="E14" s="59">
        <f>'[1]BILL  DRAFT'!D33</f>
        <v>0</v>
      </c>
      <c r="F14" s="21"/>
      <c r="G14" s="59">
        <f>'[1]BILL  DRAFT'!E33</f>
        <v>0</v>
      </c>
    </row>
    <row r="15" spans="1:17" s="2" customFormat="1" ht="16.149999999999999" customHeight="1" x14ac:dyDescent="0.15">
      <c r="A15" s="56"/>
      <c r="B15" s="56"/>
      <c r="C15" s="56"/>
      <c r="D15" s="56"/>
      <c r="E15" s="19" t="s">
        <v>16</v>
      </c>
      <c r="F15" s="19"/>
      <c r="G15" s="19" t="s">
        <v>17</v>
      </c>
    </row>
    <row r="16" spans="1:17" s="2" customFormat="1" ht="16.350000000000001" customHeight="1" x14ac:dyDescent="0.15">
      <c r="A16" s="56"/>
      <c r="B16" s="56"/>
      <c r="C16" s="56"/>
      <c r="D16" s="56"/>
      <c r="E16" s="59">
        <f>'[1]BILL  DRAFT'!J33</f>
        <v>0</v>
      </c>
      <c r="F16" s="21"/>
      <c r="G16" s="59">
        <f>'[1]BILL  DRAFT'!H33</f>
        <v>0</v>
      </c>
    </row>
    <row r="17" spans="1:16" s="2" customFormat="1" ht="16.149999999999999" customHeight="1" x14ac:dyDescent="0.15">
      <c r="A17" s="12"/>
      <c r="B17" s="12"/>
      <c r="C17" s="12"/>
      <c r="D17" s="12"/>
      <c r="E17" s="12"/>
      <c r="F17" s="12"/>
      <c r="G17" s="12"/>
    </row>
    <row r="18" spans="1:16" s="2" customFormat="1" ht="34.15" customHeight="1" x14ac:dyDescent="0.15">
      <c r="A18" s="50" t="s">
        <v>18</v>
      </c>
      <c r="B18" s="50"/>
      <c r="C18" s="50" t="s">
        <v>19</v>
      </c>
      <c r="D18" s="50"/>
      <c r="E18" s="50"/>
      <c r="F18" s="22" t="s">
        <v>20</v>
      </c>
      <c r="G18" s="22" t="s">
        <v>21</v>
      </c>
    </row>
    <row r="19" spans="1:16" s="2" customFormat="1" ht="40.35" customHeight="1" x14ac:dyDescent="0.15">
      <c r="A19" s="57" t="s">
        <v>22</v>
      </c>
      <c r="B19" s="57"/>
      <c r="C19" s="57" t="s">
        <v>23</v>
      </c>
      <c r="D19" s="57"/>
      <c r="E19" s="57"/>
      <c r="F19" s="23" t="s">
        <v>24</v>
      </c>
      <c r="G19" s="23">
        <v>900</v>
      </c>
    </row>
    <row r="20" spans="1:16" s="2" customFormat="1" ht="40.35" customHeight="1" x14ac:dyDescent="0.15">
      <c r="A20" s="58"/>
      <c r="B20" s="58"/>
      <c r="C20" s="58"/>
      <c r="D20" s="58"/>
      <c r="E20" s="58"/>
      <c r="F20" s="23"/>
      <c r="G20" s="23"/>
    </row>
    <row r="21" spans="1:16" s="2" customFormat="1" ht="40.35" customHeight="1" x14ac:dyDescent="0.15">
      <c r="A21" s="58"/>
      <c r="B21" s="58"/>
      <c r="C21" s="58"/>
      <c r="D21" s="58"/>
      <c r="E21" s="58"/>
      <c r="F21" s="23"/>
      <c r="G21" s="23"/>
    </row>
    <row r="22" spans="1:16" s="2" customFormat="1" ht="15" customHeight="1" x14ac:dyDescent="0.15">
      <c r="A22" s="4"/>
      <c r="B22" s="24"/>
      <c r="C22" s="25"/>
      <c r="D22" s="26"/>
      <c r="E22" s="27"/>
      <c r="F22" s="27"/>
      <c r="G22" s="4"/>
    </row>
    <row r="23" spans="1:16" s="2" customFormat="1" ht="19.5" customHeight="1" x14ac:dyDescent="0.15">
      <c r="A23" s="16" t="s">
        <v>25</v>
      </c>
      <c r="B23" s="27"/>
      <c r="C23" s="4"/>
      <c r="D23" s="26"/>
      <c r="E23" s="4"/>
      <c r="F23" s="28" t="s">
        <v>26</v>
      </c>
      <c r="G23" s="29">
        <f>SUM(G19:G21)</f>
        <v>900</v>
      </c>
    </row>
    <row r="24" spans="1:16" s="2" customFormat="1" ht="19.899999999999999" customHeight="1" x14ac:dyDescent="0.15">
      <c r="A24" s="30" t="s">
        <v>27</v>
      </c>
      <c r="B24" s="51" t="s">
        <v>28</v>
      </c>
      <c r="C24" s="51"/>
      <c r="D24" s="51"/>
      <c r="E24" s="51"/>
      <c r="F24" s="28"/>
      <c r="G24" s="31"/>
      <c r="I24" s="47"/>
    </row>
    <row r="25" spans="1:16" s="2" customFormat="1" ht="26.1" customHeight="1" x14ac:dyDescent="0.15">
      <c r="A25" s="30" t="s">
        <v>29</v>
      </c>
      <c r="B25" s="52" t="s">
        <v>30</v>
      </c>
      <c r="C25" s="51"/>
      <c r="D25" s="51"/>
      <c r="E25" s="51"/>
      <c r="F25" s="32" t="s">
        <v>31</v>
      </c>
      <c r="G25" s="33">
        <f>G23-G24</f>
        <v>900</v>
      </c>
    </row>
    <row r="26" spans="1:16" s="3" customFormat="1" ht="18.600000000000001" customHeight="1" x14ac:dyDescent="0.15">
      <c r="A26" s="30" t="s">
        <v>32</v>
      </c>
      <c r="B26" s="51" t="s">
        <v>33</v>
      </c>
      <c r="C26" s="51"/>
      <c r="D26" s="51"/>
      <c r="E26" s="51"/>
      <c r="F26" s="51"/>
      <c r="G26" s="51"/>
      <c r="H26" s="4"/>
      <c r="I26" s="4"/>
      <c r="J26" s="4"/>
      <c r="K26" s="4"/>
      <c r="L26" s="4"/>
      <c r="M26" s="4"/>
      <c r="N26" s="4"/>
      <c r="O26" s="4"/>
      <c r="P26" s="48"/>
    </row>
    <row r="27" spans="1:16" customFormat="1" ht="18.600000000000001" customHeight="1" x14ac:dyDescent="0.15">
      <c r="A27" s="30" t="s">
        <v>34</v>
      </c>
      <c r="B27" s="53" t="s">
        <v>35</v>
      </c>
      <c r="C27" s="53"/>
      <c r="D27" s="53"/>
      <c r="E27" s="53"/>
      <c r="F27" s="34"/>
      <c r="G27" s="34"/>
      <c r="H27" s="4"/>
      <c r="I27" s="4"/>
      <c r="J27" s="4"/>
      <c r="K27" s="4"/>
      <c r="L27" s="4"/>
      <c r="M27" s="4"/>
      <c r="N27" s="4"/>
      <c r="O27" s="4"/>
      <c r="P27" s="48"/>
    </row>
    <row r="28" spans="1:16" customFormat="1" ht="18.600000000000001" customHeight="1" x14ac:dyDescent="0.15">
      <c r="A28" s="30" t="s">
        <v>36</v>
      </c>
      <c r="B28" s="54" t="s">
        <v>37</v>
      </c>
      <c r="C28" s="54"/>
      <c r="D28" s="54"/>
      <c r="E28" s="54"/>
      <c r="F28" s="27"/>
      <c r="G28" s="35"/>
    </row>
    <row r="29" spans="1:16" customFormat="1" ht="28.15" customHeight="1" x14ac:dyDescent="0.15">
      <c r="A29" s="30" t="s">
        <v>38</v>
      </c>
      <c r="B29" s="51" t="s">
        <v>39</v>
      </c>
      <c r="C29" s="51"/>
      <c r="D29" s="51"/>
      <c r="E29" s="51"/>
      <c r="F29" s="27"/>
      <c r="G29" s="35"/>
    </row>
    <row r="30" spans="1:16" customFormat="1" ht="23.1" customHeight="1" x14ac:dyDescent="0.15">
      <c r="A30" s="30" t="s">
        <v>40</v>
      </c>
      <c r="B30" s="51" t="s">
        <v>41</v>
      </c>
      <c r="C30" s="51"/>
      <c r="D30" s="51"/>
      <c r="E30" s="51"/>
      <c r="F30" s="51"/>
      <c r="G30" s="51"/>
    </row>
    <row r="31" spans="1:16" customFormat="1" ht="16.149999999999999" customHeight="1" x14ac:dyDescent="0.15">
      <c r="A31" s="36" t="s">
        <v>42</v>
      </c>
      <c r="B31" s="37"/>
      <c r="C31" s="38"/>
      <c r="D31" s="25"/>
      <c r="E31" s="25"/>
      <c r="F31" s="24"/>
      <c r="G31" s="35"/>
    </row>
    <row r="32" spans="1:16" customFormat="1" ht="27.4" customHeight="1" x14ac:dyDescent="0.15">
      <c r="A32" s="55" t="s">
        <v>43</v>
      </c>
      <c r="B32" s="55"/>
      <c r="C32" s="55"/>
      <c r="D32" s="55"/>
      <c r="E32" s="55"/>
      <c r="F32" s="39"/>
      <c r="G32" s="35"/>
    </row>
    <row r="33" spans="1:7" customFormat="1" ht="20.65" customHeight="1" x14ac:dyDescent="0.15">
      <c r="A33" s="55" t="s">
        <v>44</v>
      </c>
      <c r="B33" s="55"/>
      <c r="C33" s="55"/>
      <c r="D33" s="55"/>
      <c r="E33" s="55"/>
      <c r="F33" s="40"/>
      <c r="G33" s="35"/>
    </row>
    <row r="34" spans="1:7" customFormat="1" ht="37.15" customHeight="1" x14ac:dyDescent="0.15">
      <c r="A34" s="41"/>
      <c r="B34" s="41"/>
      <c r="C34" s="41"/>
      <c r="D34" s="42"/>
      <c r="E34" s="42"/>
      <c r="F34" s="5"/>
      <c r="G34" s="5"/>
    </row>
    <row r="35" spans="1:7" customFormat="1" x14ac:dyDescent="0.15">
      <c r="A35" s="5"/>
      <c r="B35" s="5"/>
      <c r="C35" s="5"/>
      <c r="D35" s="5"/>
      <c r="E35" s="5"/>
      <c r="F35" s="5"/>
      <c r="G35" s="5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ageMargins left="0.35416666666666702" right="0.196527777777778" top="0.47222222222222199" bottom="0.27500000000000002" header="0.27500000000000002" footer="0.118055555555556"/>
  <pageSetup paperSize="9" fitToWidth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2026-08-07T12:10:00Z</dcterms:created>
  <dcterms:modified xsi:type="dcterms:W3CDTF">2026-08-20T12:43:43Z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